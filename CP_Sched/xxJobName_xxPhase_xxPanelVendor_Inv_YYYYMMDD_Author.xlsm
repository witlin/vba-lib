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C1948104-C9B7-461F-9913-0A952E800AE5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Summary" sheetId="5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1" l="1"/>
  <c r="K9" i="1" s="1"/>
  <c r="J8" i="1" l="1"/>
  <c r="K8" i="1" s="1"/>
  <c r="J27" i="1" l="1"/>
  <c r="K27" i="1" s="1"/>
  <c r="J19" i="1"/>
  <c r="K19" i="1" s="1"/>
  <c r="J22" i="1"/>
  <c r="K22" i="1" s="1"/>
  <c r="J16" i="1"/>
  <c r="K16" i="1" s="1"/>
  <c r="J13" i="1"/>
  <c r="K13" i="1" s="1"/>
  <c r="J11" i="1"/>
  <c r="K11" i="1" s="1"/>
  <c r="J7" i="1"/>
  <c r="K7" i="1" s="1"/>
  <c r="J33" i="1"/>
  <c r="K33" i="1" s="1"/>
  <c r="J38" i="1"/>
  <c r="K38" i="1" s="1"/>
  <c r="J24" i="1"/>
  <c r="K24" i="1" s="1"/>
  <c r="J23" i="1"/>
  <c r="K23" i="1" s="1"/>
  <c r="J28" i="1"/>
  <c r="K28" i="1" s="1"/>
  <c r="J17" i="1"/>
  <c r="K17" i="1" s="1"/>
  <c r="J12" i="1"/>
  <c r="K12" i="1" s="1"/>
  <c r="J6" i="1"/>
  <c r="K6" i="1" s="1"/>
  <c r="J30" i="1"/>
  <c r="K30" i="1" s="1"/>
  <c r="J35" i="1"/>
  <c r="K35" i="1" s="1"/>
  <c r="J34" i="1"/>
  <c r="K34" i="1" s="1"/>
  <c r="J18" i="1"/>
  <c r="K18" i="1" s="1"/>
  <c r="J21" i="1"/>
  <c r="K21" i="1" s="1"/>
  <c r="J15" i="1"/>
  <c r="K15" i="1" s="1"/>
  <c r="J25" i="1"/>
  <c r="K25" i="1" s="1"/>
  <c r="J37" i="1"/>
  <c r="K37" i="1" s="1"/>
  <c r="J26" i="1"/>
  <c r="K26" i="1" s="1"/>
  <c r="J29" i="1"/>
  <c r="K29" i="1" s="1"/>
  <c r="J20" i="1"/>
  <c r="K20" i="1" s="1"/>
  <c r="J14" i="1"/>
  <c r="K14" i="1" s="1"/>
  <c r="J10" i="1"/>
  <c r="K10" i="1" s="1"/>
  <c r="J31" i="1"/>
  <c r="K31" i="1" s="1"/>
  <c r="J36" i="1"/>
  <c r="K36" i="1" s="1"/>
  <c r="J32" i="1" l="1"/>
  <c r="K32" i="1" s="1"/>
</calcChain>
</file>

<file path=xl/sharedStrings.xml><?xml version="1.0" encoding="utf-8"?>
<sst xmlns="http://schemas.openxmlformats.org/spreadsheetml/2006/main" count="210" uniqueCount="66">
  <si>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</si>
  <si>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</si>
  <si>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</si>
  <si>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</si>
  <si>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</si>
  <si>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</si>
  <si>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</si>
  <si>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</si>
  <si>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</si>
  <si>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</si>
  <si>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</si>
  <si>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</si>
  <si>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</si>
  <si>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</si>
  <si>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</si>
  <si>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</si>
  <si>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</si>
  <si>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</si>
  <si>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</si>
  <si>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</si>
  <si>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</si>
  <si>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</si>
  <si>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</si>
  <si>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</si>
  <si>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</si>
  <si>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</si>
  <si>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</si>
  <si>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</si>
  <si>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</si>
  <si>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</si>
  <si>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</si>
  <si>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</si>
  <si>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</si>
  <si>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</si>
  <si>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</si>
  <si>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</si>
  <si>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</si>
  <si>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</si>
  <si>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</si>
  <si>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</si>
  <si>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</si>
  <si>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</si>
  <si>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</si>
  <si>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</si>
  <si>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</si>
  <si>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</si>
  <si>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</si>
  <si>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</si>
  <si>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</si>
  <si>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</si>
  <si>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</si>
  <si>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</si>
  <si>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</si>
  <si>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</si>
  <si>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</si>
  <si>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</si>
  <si>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</si>
  <si>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</si>
  <si>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</si>
  <si>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</si>
  <si>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</si>
  <si>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</si>
  <si>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</si>
  <si>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</si>
  <si>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(All)</t>
  </si>
  <si>
    <t>Total Qty Received              Do Not Modify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</si>
</sst>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9" fontId="0" fillId="0" borderId="0" xfId="1" applyNumberFormat="1" applyFont="1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9525</xdr:rowOff>
        </xdr:from>
        <xdr:to>
          <xdr:col>3</xdr:col>
          <xdr:colOff>66675</xdr:colOff>
          <xdr:row>41</xdr:row>
          <xdr:rowOff>19050</xdr:rowOff>
        </xdr:to>
        <xdr:sp macro="" textlink="">
          <xdr:nvSpPr>
            <xdr:cNvPr id="3074" name="sumarize_bt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41.394771180552" createdVersion="6" refreshedVersion="6" minRefreshableVersion="3" recordCount="33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07CBL-ECLYPSE6HD1590"/>
        <s v="CDIDI-BOS8NOWIFI"/>
        <s v="CDIY-8UI-00"/>
        <s v="CDIY-8UI6UOHOA-00"/>
        <s v="CDIY-PS24-00"/>
        <s v="CDIY-S1000ENVY-00"/>
        <s v="PDIDS-HC10-00"/>
        <s v="PS-2ADP04WCDX"/>
        <s v="PS-2ADP12WCDX"/>
        <s v="SDITR-NC-8025"/>
        <s v="SDITR-NC-8100"/>
        <s v="SDITR-SMA-BOS8025-3YR"/>
        <s v="SDITR-SMA-BOS8100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s v="AWS_CP_061"/>
    <n v="106"/>
    <x v="0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56"/>
    <n v="108"/>
    <x v="0"/>
    <s v="INTERCONNECT CABLE"/>
    <s v="DISTECH"/>
    <n v="2"/>
    <n v="1"/>
    <n v="2"/>
    <n v="0"/>
    <n v="0"/>
    <m/>
    <m/>
    <m/>
    <m/>
    <m/>
    <m/>
    <m/>
    <m/>
    <m/>
    <m/>
    <m/>
  </r>
  <r>
    <x v="0"/>
    <s v="AWS_CP_065"/>
    <n v="109"/>
    <x v="0"/>
    <s v="INTERCONNECT CABLE"/>
    <s v="DISTECH"/>
    <n v="1"/>
    <n v="1"/>
    <n v="1"/>
    <n v="0"/>
    <n v="0"/>
    <m/>
    <m/>
    <m/>
    <m/>
    <m/>
    <m/>
    <m/>
    <m/>
    <m/>
    <m/>
    <m/>
  </r>
  <r>
    <x v="0"/>
    <s v="AWS_CP_061"/>
    <n v="105"/>
    <x v="1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5"/>
    <n v="106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7"/>
    <x v="2"/>
    <s v="ECLYPSE EXPANSION MODULE, 8 INPUTS"/>
    <s v="DISTECH"/>
    <n v="2"/>
    <n v="1"/>
    <n v="1"/>
    <n v="0"/>
    <n v="0"/>
    <m/>
    <m/>
    <m/>
    <m/>
    <m/>
    <m/>
    <m/>
    <m/>
    <m/>
    <m/>
    <m/>
  </r>
  <r>
    <x v="0"/>
    <s v="AWS_CP_061"/>
    <n v="104"/>
    <x v="2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56"/>
    <n v="106"/>
    <x v="2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65"/>
    <n v="105"/>
    <x v="3"/>
    <s v="ECLYPSE EXPANSION MODULE, 8 INPUTS, 6 OUPUTS"/>
    <s v="DISTECH"/>
    <n v="5"/>
    <n v="1"/>
    <n v="2"/>
    <n v="0"/>
    <n v="0"/>
    <m/>
    <m/>
    <m/>
    <m/>
    <m/>
    <m/>
    <m/>
    <m/>
    <m/>
    <m/>
    <m/>
  </r>
  <r>
    <x v="1"/>
    <s v="AWS_CP_005"/>
    <n v="103"/>
    <x v="3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0"/>
    <s v="AWS_CP_056"/>
    <n v="105"/>
    <x v="3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61"/>
    <n v="103"/>
    <x v="4"/>
    <s v="ECLYPSE POWER SUPPLY"/>
    <s v="DISTECH"/>
    <n v="2"/>
    <n v="1"/>
    <n v="5"/>
    <n v="1"/>
    <n v="0.2"/>
    <m/>
    <n v="1"/>
    <m/>
    <m/>
    <m/>
    <m/>
    <m/>
    <m/>
    <m/>
    <m/>
    <m/>
  </r>
  <r>
    <x v="1"/>
    <s v="AWS_CP_005"/>
    <n v="101"/>
    <x v="4"/>
    <s v="ECLYPSE POWER SUPPLY"/>
    <s v="DISTECH"/>
    <n v="1"/>
    <n v="2"/>
    <n v="2"/>
    <n v="1"/>
    <n v="0.5"/>
    <m/>
    <n v="1"/>
    <m/>
    <m/>
    <m/>
    <m/>
    <m/>
    <m/>
    <m/>
    <m/>
    <m/>
  </r>
  <r>
    <x v="0"/>
    <s v="AWS_CP_056"/>
    <n v="103"/>
    <x v="4"/>
    <s v="ECLYPSE POWER SUPPLY"/>
    <s v="DISTECH"/>
    <n v="5"/>
    <n v="1"/>
    <n v="5"/>
    <n v="0"/>
    <n v="0"/>
    <m/>
    <m/>
    <m/>
    <m/>
    <m/>
    <m/>
    <m/>
    <m/>
    <m/>
    <m/>
    <m/>
  </r>
  <r>
    <x v="0"/>
    <s v="AWS_CP_065"/>
    <n v="104"/>
    <x v="5"/>
    <s v="ECLYPSE CONTROLLER"/>
    <s v="DISTECH"/>
    <n v="1"/>
    <n v="1"/>
    <n v="4"/>
    <n v="0"/>
    <n v="0"/>
    <m/>
    <m/>
    <m/>
    <m/>
    <m/>
    <m/>
    <m/>
    <m/>
    <m/>
    <m/>
    <m/>
  </r>
  <r>
    <x v="1"/>
    <s v="AWS_CP_005"/>
    <n v="102"/>
    <x v="5"/>
    <s v="ECLYPSE CONTROLLER"/>
    <s v="DISTECH"/>
    <n v="1"/>
    <n v="2"/>
    <n v="2"/>
    <n v="1"/>
    <n v="0.5"/>
    <m/>
    <n v="1"/>
    <m/>
    <m/>
    <m/>
    <m/>
    <m/>
    <m/>
    <m/>
    <m/>
    <m/>
  </r>
  <r>
    <x v="0"/>
    <s v="AWS_CP_056"/>
    <n v="104"/>
    <x v="5"/>
    <s v="ECLYPSE CONTROLLER"/>
    <s v="DISTECH"/>
    <n v="1"/>
    <n v="1"/>
    <n v="1"/>
    <n v="0"/>
    <n v="0"/>
    <m/>
    <m/>
    <m/>
    <m/>
    <m/>
    <m/>
    <m/>
    <m/>
    <m/>
    <m/>
    <m/>
  </r>
  <r>
    <x v="0"/>
    <s v="AWS_CP_061"/>
    <n v="101"/>
    <x v="6"/>
    <s v="TOUCHSCREEN HORIZON -CIO"/>
    <s v="DISTECH"/>
    <n v="1"/>
    <n v="1"/>
    <n v="2"/>
    <n v="1"/>
    <n v="0.5"/>
    <m/>
    <n v="1"/>
    <m/>
    <m/>
    <m/>
    <m/>
    <m/>
    <m/>
    <m/>
    <m/>
    <m/>
  </r>
  <r>
    <x v="0"/>
    <s v="AWS_CP_061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2"/>
    <x v="7"/>
    <s v="DIFFERENTIAL PRESSURE LP"/>
    <s v="DISTECH"/>
    <n v="2"/>
    <n v="1"/>
    <n v="2"/>
    <n v="1"/>
    <n v="0.5"/>
    <m/>
    <n v="1"/>
    <m/>
    <m/>
    <m/>
    <m/>
    <m/>
    <m/>
    <m/>
    <m/>
    <m/>
  </r>
  <r>
    <x v="0"/>
    <s v="AWS_CP_056"/>
    <n v="102"/>
    <x v="7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61"/>
    <n v="102"/>
    <x v="8"/>
    <s v="DIFFERENTIAL PRESSURE HP"/>
    <s v="DISTECH"/>
    <n v="3"/>
    <n v="1"/>
    <n v="1"/>
    <n v="1"/>
    <n v="1"/>
    <m/>
    <n v="1"/>
    <m/>
    <m/>
    <m/>
    <m/>
    <m/>
    <m/>
    <m/>
    <m/>
    <m/>
  </r>
  <r>
    <x v="0"/>
    <s v="AWS_CP_065"/>
    <n v="103"/>
    <x v="9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9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5"/>
    <n v="107"/>
    <x v="9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56"/>
    <n v="100"/>
    <x v="10"/>
    <s v="EC-BOS-8 CORE - 100 DEVICES/5000 POINTS"/>
    <s v="DISTECH"/>
    <n v="1"/>
    <n v="1"/>
    <n v="1"/>
    <n v="1"/>
    <n v="1"/>
    <m/>
    <n v="1"/>
    <m/>
    <m/>
    <m/>
    <m/>
    <m/>
    <m/>
    <m/>
    <m/>
    <m/>
  </r>
  <r>
    <x v="0"/>
    <s v="AWS_CP_056"/>
    <n v="109"/>
    <x v="10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05"/>
    <n v="100"/>
    <x v="11"/>
    <s v="EC-BOS-8 (25 DEVICE CORE) 3 YEAR SMA"/>
    <s v="DISTECH"/>
    <n v="1"/>
    <n v="2"/>
    <n v="2"/>
    <n v="1"/>
    <n v="0.5"/>
    <m/>
    <n v="1"/>
    <m/>
    <m/>
    <m/>
    <m/>
    <m/>
    <m/>
    <m/>
    <m/>
    <m/>
  </r>
  <r>
    <x v="0"/>
    <s v="AWS_CP_061"/>
    <n v="108"/>
    <x v="11"/>
    <s v="EC-BOS-8 (25 DEVICE CORE) 3 YEAR SMA"/>
    <s v="DISTECH"/>
    <n v="1"/>
    <n v="1"/>
    <n v="1"/>
    <n v="1"/>
    <n v="1"/>
    <m/>
    <n v="1"/>
    <m/>
    <m/>
    <m/>
    <m/>
    <m/>
    <m/>
    <m/>
    <m/>
    <m/>
  </r>
  <r>
    <x v="0"/>
    <s v="AWS_CP_065"/>
    <n v="108"/>
    <x v="11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1"/>
    <x v="12"/>
    <s v="EC-BOS-8 (100 DEVICE CORE) 3 YEAR SMA"/>
    <s v="DISTECH"/>
    <n v="1"/>
    <n v="1"/>
    <n v="2"/>
    <n v="1"/>
    <n v="0.5"/>
    <m/>
    <n v="1"/>
    <m/>
    <m/>
    <m/>
    <m/>
    <m/>
    <m/>
    <m/>
    <m/>
    <m/>
  </r>
  <r>
    <x v="0"/>
    <s v="AWS_CP_056"/>
    <n v="110"/>
    <x v="12"/>
    <s v="EC-BOS-8 (100 DEVICE CORE) 3 YEAR SMA"/>
    <s v="DISTECH"/>
    <n v="1"/>
    <n v="1"/>
    <n v="1"/>
    <n v="1"/>
    <n v="1"/>
    <m/>
    <n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m="1" x="13"/>
        <item m="1" x="14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3" type="button" dataOnly="0" labelOnly="1" outline="0" axis="axisRow" fieldPosition="0"/>
    </format>
    <format dxfId="4">
      <pivotArea field="3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CCF63A-BFE7-4961-A3CF-45EF9919FAC6}" name="VendorInventory3" displayName="VendorInventory3" ref="A5:V39">
  <autoFilter ref="A5:V39" xr:uid="{989E0B49-1948-4BC4-A841-EC3867D81F29}"/>
  <sortState xmlns:xlrd2="http://schemas.microsoft.com/office/spreadsheetml/2017/richdata2" ref="A6:V39">
    <sortCondition ref="D5:D39"/>
  </sortState>
  <tableColumns count="22">
    <tableColumn id="22" xr3:uid="{223F7CC9-4D33-4BED-A728-2BE91C7510A1}" name="PO #" dataDxfId="33"/>
    <tableColumn id="1" xr3:uid="{1733A265-BDB5-4D08-8F88-80CE657410F0}" name="Panel ID" totalsRowLabel="Total"/>
    <tableColumn id="2" xr3:uid="{9D6EE43C-3E44-42F1-9BFF-4BFA8F8A81DF}" name="BOM Item #"/>
    <tableColumn id="3" xr3:uid="{5103EBE2-0B6D-498E-91D3-760E3E4E6EAF}" name="Part #"/>
    <tableColumn id="4" xr3:uid="{E9D4B72E-38DA-4896-9655-4D30171C5221}" name="Part Description"/>
    <tableColumn id="5" xr3:uid="{8B3DA77B-A980-4692-9DFB-CFE35264D64A}" name="Manufacturer"/>
    <tableColumn id="6" xr3:uid="{4FF1FEC8-9B67-4BE2-BD08-166A146CC350}" name="Qty Per"/>
    <tableColumn id="7" xr3:uid="{9FAFD2CF-86DC-4FDD-AAEF-FD07F55084AE}" name="Panel Qty"/>
    <tableColumn id="8" xr3:uid="{C6BBD530-66A7-41C0-969C-E120407AE7F4}" name="Total Qty"/>
    <tableColumn id="9" xr3:uid="{E2C3892D-3048-452B-B57F-B2FF860AAB7B}" name="Total Qty Received              Do Not Modify" dataDxfId="32"/>
    <tableColumn id="21" xr3:uid="{5D4D7364-16B4-4BC8-91DD-FE8102200171}" name="Percent Received" dataDxfId="31" dataCellStyle="Percent"/>
    <tableColumn id="10" xr3:uid="{C25666A3-4768-4E42-B97F-B2DE5BC30E79}" name="Vendor Notes"/>
    <tableColumn id="11" xr3:uid="{E7F54B88-D10F-46CF-A5A8-DF5D27528852}" name="Qty Received 1" dataDxfId="30"/>
    <tableColumn id="12" xr3:uid="{E2219CE8-E301-4E87-A36B-C3799B990655}" name="Date Received 1" dataDxfId="29"/>
    <tableColumn id="13" xr3:uid="{8A3F7ED5-3FE9-4FF0-AF76-9E396A0ECDF0}" name="Qty Received 2" dataDxfId="28"/>
    <tableColumn id="14" xr3:uid="{0A4D3D03-8D01-445D-BED3-FF54B69A594B}" name="Date Received 2" dataDxfId="27"/>
    <tableColumn id="15" xr3:uid="{1458C31E-2B1E-4513-988D-5466C15D437A}" name="Qty Received 3" dataDxfId="26"/>
    <tableColumn id="16" xr3:uid="{22BEE7CD-0C81-405D-B69C-876B40AD9357}" name="Date Received 3" dataDxfId="25"/>
    <tableColumn id="17" xr3:uid="{218C35D2-5747-4CB6-94D2-C0FFDB2C9FE6}" name="Qty Received 4" dataDxfId="24"/>
    <tableColumn id="18" xr3:uid="{67325DD7-EB42-480A-BDC7-229A0FB6003B}" name="Date Received 4" dataDxfId="23"/>
    <tableColumn id="19" xr3:uid="{D9E22976-E091-4580-B7D2-95ED65A37383}" name="Qty Received 5" dataDxfId="22"/>
    <tableColumn id="20" xr3:uid="{6AF0CDD4-6D2C-4CF4-8BA1-E10A8A976B42}" name="Date Received 5" totalsRowFunction="count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8">
  <autoFilter ref="A5:V38" xr:uid="{989E0B49-1948-4BC4-A841-EC3867D81F29}"/>
  <sortState xmlns:xlrd2="http://schemas.microsoft.com/office/spreadsheetml/2017/richdata2" ref="A6:V38">
    <sortCondition ref="D5:D38"/>
  </sortState>
  <tableColumns count="22">
    <tableColumn id="22" xr3:uid="{62D9C963-D166-477B-B4CF-A5CD1ED61A61}" name="PO #" dataDxfId="20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19">
      <calculatedColumnFormula>SUM(M6,O6,Q6,S6,U6)</calculatedColumnFormula>
    </tableColumn>
    <tableColumn id="21" xr3:uid="{A15CB5CA-AA7C-4EE4-869F-E34BBDA27D0A}" name="Percent Received" dataDxfId="18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17"/>
    <tableColumn id="12" xr3:uid="{6A3B35EA-0BBA-45D1-9797-080233198EEB}" name="Date Received 1" dataDxfId="16"/>
    <tableColumn id="13" xr3:uid="{C45F10F8-7895-4A67-A693-EC1F293131BA}" name="Qty Received 2" dataDxfId="15"/>
    <tableColumn id="14" xr3:uid="{B58126CB-5280-477C-AC90-3B002C8D7D76}" name="Date Received 2" dataDxfId="14"/>
    <tableColumn id="15" xr3:uid="{84EA1E4D-8182-4DDF-A7AE-28C284435ACC}" name="Qty Received 3" dataDxfId="13"/>
    <tableColumn id="16" xr3:uid="{B423D7C7-372A-464C-A752-3630A736DA64}" name="Date Received 3" dataDxfId="12"/>
    <tableColumn id="17" xr3:uid="{A9A2A3AB-EFFC-46C1-96AF-F6C4A3A65CE3}" name="Qty Received 4" dataDxfId="11"/>
    <tableColumn id="18" xr3:uid="{00914DA0-38A3-4D47-A728-5C23CEF91ED1}" name="Date Received 4" dataDxfId="10"/>
    <tableColumn id="19" xr3:uid="{103B8486-A04E-4231-AF86-42F81C3CD380}" name="Qty Received 5" dataDxfId="9"/>
    <tableColumn id="20" xr3:uid="{FF20A134-7349-4725-9994-55FC8D7A99C1}" name="Date Received 5" totalsRowFunction="count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5801-CF16-4989-AC8C-CAE54941CC3C}">
  <sheetPr codeName="Sheet3"/>
  <dimension ref="A1:X41"/>
  <sheetViews>
    <sheetView tabSelected="1" zoomScale="86" zoomScaleNormal="86" workbookViewId="0">
      <pane ySplit="5" topLeftCell="A6" activePane="bottomLeft" state="frozen"/>
      <selection pane="bottomLeft" activeCell="A6" sqref="A6:XFD18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6" customWidth="1"/>
    <col min="10" max="10" width="20.28515625" style="19" customWidth="1"/>
    <col min="11" max="11" width="15.5703125" customWidth="1"/>
    <col min="12" max="12" width="24.28515625" style="36" customWidth="1"/>
    <col min="13" max="13" width="23.140625" style="32" bestFit="1" customWidth="1"/>
    <col min="14" max="14" width="17.42578125" style="36" bestFit="1" customWidth="1"/>
    <col min="15" max="15" width="17.42578125" style="32" bestFit="1" customWidth="1"/>
    <col min="16" max="16" width="17.42578125" style="36" bestFit="1" customWidth="1"/>
    <col min="17" max="17" width="17.42578125" style="32" bestFit="1" customWidth="1"/>
    <col min="18" max="18" width="17.42578125" style="36" bestFit="1" customWidth="1"/>
    <col min="19" max="19" width="17.42578125" style="32" bestFit="1" customWidth="1"/>
    <col min="20" max="20" width="17.42578125" style="36" bestFit="1" customWidth="1"/>
    <col min="21" max="21" width="17.42578125" style="32" bestFit="1" customWidth="1"/>
    <col min="22" max="22" width="17.42578125" style="36" bestFit="1" customWidth="1"/>
    <col min="23" max="23" width="9.140625" style="36"/>
  </cols>
  <sheetData>
    <row r="1" spans="1:24" ht="31.5" x14ac:dyDescent="0.5">
      <c r="A1" s="26"/>
      <c r="B1" s="35"/>
      <c r="C1" s="40" t="s">
        <v>2</v>
      </c>
      <c r="D1" s="41"/>
      <c r="E1" s="4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65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36"/>
    </row>
    <row r="6" spans="1:24" ht="15.75" thickTop="1" x14ac:dyDescent="0.25">
      <c r="A6" s="28"/>
      <c r="B6" s="36"/>
      <c r="C6" s="36"/>
      <c r="D6" s="2"/>
      <c r="E6" s="2"/>
      <c r="F6" s="36"/>
      <c r="G6" s="36"/>
      <c r="H6" s="36"/>
      <c r="J6" s="36"/>
      <c r="K6" s="19"/>
      <c r="L6"/>
      <c r="M6" s="36"/>
      <c r="N6" s="32"/>
      <c r="O6" s="36"/>
      <c r="P6" s="32"/>
      <c r="Q6" s="36"/>
      <c r="R6" s="32"/>
      <c r="S6" s="36"/>
      <c r="T6" s="32"/>
      <c r="U6" s="36"/>
      <c r="V6" s="32"/>
      <c r="X6" s="36"/>
    </row>
    <row r="7" spans="1:24" x14ac:dyDescent="0.25">
      <c r="A7" s="28"/>
      <c r="B7" s="36"/>
      <c r="C7" s="36"/>
      <c r="D7" s="2"/>
      <c r="E7" s="2"/>
      <c r="F7" s="36"/>
      <c r="G7" s="36"/>
      <c r="H7" s="36"/>
      <c r="J7" s="36"/>
      <c r="K7" s="19"/>
      <c r="L7" s="37"/>
      <c r="N7" s="32"/>
      <c r="P7" s="32"/>
      <c r="R7" s="32"/>
      <c r="T7" s="32"/>
      <c r="V7" s="32"/>
      <c r="X7" s="36"/>
    </row>
    <row r="8" spans="1:24" x14ac:dyDescent="0.25">
      <c r="A8" s="28"/>
      <c r="B8" s="36"/>
      <c r="C8" s="36"/>
      <c r="D8" s="2"/>
      <c r="E8" s="2"/>
      <c r="F8" s="36"/>
      <c r="G8" s="36"/>
      <c r="H8" s="36"/>
      <c r="J8" s="36"/>
      <c r="K8" s="19"/>
      <c r="L8"/>
      <c r="M8" s="36"/>
      <c r="N8" s="32"/>
      <c r="O8" s="36"/>
      <c r="P8" s="32"/>
      <c r="Q8" s="36"/>
      <c r="R8" s="32"/>
      <c r="S8" s="36"/>
      <c r="T8" s="32"/>
      <c r="U8" s="36"/>
      <c r="V8" s="32"/>
      <c r="X8" s="36"/>
    </row>
    <row r="9" spans="1:24" x14ac:dyDescent="0.25">
      <c r="A9" s="28"/>
      <c r="B9" s="36"/>
      <c r="C9" s="36"/>
      <c r="D9" s="2"/>
      <c r="E9" s="2"/>
      <c r="F9" s="36"/>
      <c r="G9" s="36"/>
      <c r="H9" s="36"/>
      <c r="J9" s="36"/>
      <c r="K9" s="19"/>
      <c r="L9"/>
      <c r="M9" s="37"/>
      <c r="N9" s="32"/>
      <c r="O9" s="37"/>
      <c r="P9" s="32"/>
      <c r="Q9" s="37"/>
      <c r="R9" s="32"/>
      <c r="S9" s="37"/>
      <c r="T9" s="32"/>
      <c r="U9" s="37"/>
      <c r="V9" s="32"/>
      <c r="X9" s="36"/>
    </row>
    <row r="10" spans="1:24" x14ac:dyDescent="0.25">
      <c r="A10" s="28"/>
      <c r="B10" s="36"/>
      <c r="C10" s="36"/>
      <c r="D10" s="2"/>
      <c r="E10" s="2"/>
      <c r="F10" s="36"/>
      <c r="G10" s="36"/>
      <c r="H10" s="36"/>
      <c r="J10" s="36"/>
      <c r="K10" s="19"/>
      <c r="L10"/>
      <c r="M10" s="36"/>
      <c r="N10" s="32"/>
      <c r="O10" s="36"/>
      <c r="P10" s="32"/>
      <c r="Q10" s="36"/>
      <c r="R10" s="32"/>
      <c r="S10" s="36"/>
      <c r="T10" s="32"/>
      <c r="U10" s="36"/>
      <c r="V10" s="32"/>
      <c r="X10" s="36"/>
    </row>
    <row r="11" spans="1:24" x14ac:dyDescent="0.25">
      <c r="A11" s="28"/>
      <c r="B11" s="36"/>
      <c r="C11" s="36"/>
      <c r="D11" s="2"/>
      <c r="E11" s="2"/>
      <c r="F11" s="36"/>
      <c r="G11" s="36"/>
      <c r="H11" s="36"/>
      <c r="J11" s="36"/>
      <c r="K11" s="19"/>
      <c r="L11"/>
      <c r="M11" s="36"/>
      <c r="N11" s="32"/>
      <c r="O11" s="36"/>
      <c r="P11" s="32"/>
      <c r="Q11" s="36"/>
      <c r="R11" s="32"/>
      <c r="S11" s="36"/>
      <c r="T11" s="32"/>
      <c r="U11" s="36"/>
      <c r="V11" s="32"/>
      <c r="X11" s="36"/>
    </row>
    <row r="12" spans="1:24" ht="15.75" customHeight="1" x14ac:dyDescent="0.25">
      <c r="A12" s="28"/>
      <c r="B12" s="36"/>
      <c r="C12" s="36"/>
      <c r="D12" s="2"/>
      <c r="E12" s="2"/>
      <c r="F12" s="36"/>
      <c r="G12" s="36"/>
      <c r="H12" s="36"/>
      <c r="J12" s="36"/>
      <c r="K12" s="19"/>
      <c r="L12"/>
      <c r="M12" s="36"/>
      <c r="N12" s="32"/>
      <c r="O12" s="36"/>
      <c r="P12" s="32"/>
      <c r="Q12" s="36"/>
      <c r="R12" s="32"/>
      <c r="S12" s="36"/>
      <c r="T12" s="32"/>
      <c r="U12" s="36"/>
      <c r="V12" s="32"/>
      <c r="X12" s="36"/>
    </row>
    <row r="13" spans="1:24" ht="15.75" customHeight="1" x14ac:dyDescent="0.25">
      <c r="A13" s="28"/>
      <c r="B13" s="36"/>
      <c r="C13" s="36"/>
      <c r="D13" s="2"/>
      <c r="E13" s="2"/>
      <c r="F13" s="36"/>
      <c r="G13" s="36"/>
      <c r="H13" s="36"/>
      <c r="J13" s="36"/>
      <c r="K13" s="19"/>
      <c r="L13"/>
      <c r="M13" s="36"/>
      <c r="N13" s="32"/>
      <c r="O13" s="36"/>
      <c r="P13" s="32"/>
      <c r="Q13" s="36"/>
      <c r="R13" s="32"/>
      <c r="S13" s="36"/>
      <c r="T13" s="32"/>
      <c r="U13" s="36"/>
      <c r="V13" s="32"/>
      <c r="X13" s="36"/>
    </row>
    <row r="14" spans="1:24" ht="15.75" customHeight="1" x14ac:dyDescent="0.25">
      <c r="A14" s="28"/>
      <c r="B14" s="36"/>
      <c r="C14" s="36"/>
      <c r="D14" s="2"/>
      <c r="E14" s="2"/>
      <c r="F14" s="36"/>
      <c r="G14" s="36"/>
      <c r="H14" s="36"/>
      <c r="J14" s="36"/>
      <c r="K14" s="19"/>
      <c r="L14"/>
      <c r="M14" s="37"/>
      <c r="N14" s="32"/>
      <c r="O14" s="37"/>
      <c r="P14" s="32"/>
      <c r="Q14" s="37"/>
      <c r="R14" s="32"/>
      <c r="S14" s="37"/>
      <c r="T14" s="32"/>
      <c r="U14" s="37"/>
      <c r="V14" s="32"/>
      <c r="X14" s="36"/>
    </row>
    <row r="15" spans="1:24" x14ac:dyDescent="0.25">
      <c r="A15" s="28"/>
      <c r="B15" s="36"/>
      <c r="C15" s="36"/>
      <c r="D15" s="2"/>
      <c r="E15" s="2"/>
      <c r="F15" s="36"/>
      <c r="G15" s="36"/>
      <c r="H15" s="36"/>
      <c r="J15" s="36"/>
      <c r="K15" s="19"/>
      <c r="L15"/>
      <c r="M15" s="36"/>
      <c r="N15" s="32"/>
      <c r="O15" s="36"/>
      <c r="P15" s="32"/>
      <c r="Q15" s="36"/>
      <c r="R15" s="32"/>
      <c r="S15" s="36"/>
      <c r="T15" s="32"/>
      <c r="U15" s="36"/>
      <c r="V15" s="32"/>
      <c r="X15" s="36"/>
    </row>
    <row r="16" spans="1:24" ht="14.25" customHeight="1" x14ac:dyDescent="0.25">
      <c r="A16" s="28"/>
      <c r="B16" s="36"/>
      <c r="C16" s="36"/>
      <c r="D16" s="2"/>
      <c r="E16" s="2"/>
      <c r="F16" s="36"/>
      <c r="G16" s="36"/>
      <c r="H16" s="36"/>
      <c r="J16" s="36"/>
      <c r="K16" s="19"/>
      <c r="L16"/>
      <c r="M16" s="36"/>
      <c r="N16" s="32"/>
      <c r="O16" s="36"/>
      <c r="P16" s="32"/>
      <c r="Q16" s="36"/>
      <c r="R16" s="32"/>
      <c r="S16" s="36"/>
      <c r="T16" s="32"/>
      <c r="U16" s="36"/>
      <c r="V16" s="32"/>
      <c r="X16" s="36"/>
    </row>
    <row r="17" spans="1:24" x14ac:dyDescent="0.25">
      <c r="A17" s="28"/>
      <c r="B17" s="36"/>
      <c r="C17" s="36"/>
      <c r="D17" s="2"/>
      <c r="E17" s="2"/>
      <c r="F17" s="36"/>
      <c r="G17" s="36"/>
      <c r="H17" s="36"/>
      <c r="J17" s="36"/>
      <c r="K17" s="19"/>
      <c r="L17"/>
      <c r="M17" s="36"/>
      <c r="N17" s="32"/>
      <c r="O17" s="36"/>
      <c r="P17" s="32"/>
      <c r="Q17" s="36"/>
      <c r="R17" s="32"/>
      <c r="S17" s="36"/>
      <c r="T17" s="32"/>
      <c r="U17" s="36"/>
      <c r="V17" s="32"/>
      <c r="X17" s="36"/>
    </row>
    <row r="18" spans="1:24" x14ac:dyDescent="0.25">
      <c r="A18" s="28"/>
      <c r="B18" s="36"/>
      <c r="C18" s="36"/>
      <c r="D18" s="2"/>
      <c r="E18" s="2"/>
      <c r="F18" s="36"/>
      <c r="G18" s="36"/>
      <c r="H18" s="36"/>
      <c r="J18" s="36"/>
      <c r="K18" s="19"/>
      <c r="L18"/>
      <c r="M18" s="36"/>
      <c r="N18" s="32"/>
      <c r="O18" s="36"/>
      <c r="P18" s="32"/>
      <c r="Q18" s="36"/>
      <c r="R18" s="32"/>
      <c r="S18" s="36"/>
      <c r="T18" s="32"/>
      <c r="U18" s="36"/>
      <c r="V18" s="32"/>
      <c r="X18" s="36"/>
    </row>
    <row r="19" spans="1:24" x14ac:dyDescent="0.25">
      <c r="A19" s="28"/>
      <c r="B19" s="36"/>
      <c r="C19" s="36"/>
      <c r="D19" s="2"/>
      <c r="E19" s="2"/>
      <c r="F19" s="36"/>
      <c r="G19" s="36"/>
      <c r="H19" s="36"/>
      <c r="J19" s="36"/>
      <c r="K19" s="19"/>
      <c r="L19"/>
      <c r="M19" s="36"/>
      <c r="N19" s="32"/>
      <c r="O19" s="36"/>
      <c r="P19" s="32"/>
      <c r="Q19" s="36"/>
      <c r="R19" s="32"/>
      <c r="S19" s="36"/>
      <c r="T19" s="32"/>
      <c r="U19" s="36"/>
      <c r="V19" s="32"/>
      <c r="X19" s="36"/>
    </row>
    <row r="20" spans="1:24" x14ac:dyDescent="0.25">
      <c r="A20" s="28"/>
      <c r="B20" s="36"/>
      <c r="C20" s="36"/>
      <c r="D20" s="2"/>
      <c r="E20" s="2"/>
      <c r="F20" s="36"/>
      <c r="G20" s="36"/>
      <c r="H20" s="36"/>
      <c r="J20" s="36"/>
      <c r="K20" s="19"/>
      <c r="L20"/>
      <c r="M20" s="36"/>
      <c r="N20" s="32"/>
      <c r="O20" s="36"/>
      <c r="P20" s="32"/>
      <c r="Q20" s="36"/>
      <c r="R20" s="32"/>
      <c r="S20" s="36"/>
      <c r="T20" s="32"/>
      <c r="U20" s="36"/>
      <c r="V20" s="32"/>
      <c r="X20" s="36"/>
    </row>
    <row r="21" spans="1:24" x14ac:dyDescent="0.25">
      <c r="A21" s="28"/>
      <c r="B21" s="36"/>
      <c r="C21" s="36"/>
      <c r="D21" s="2"/>
      <c r="E21" s="2"/>
      <c r="F21" s="36"/>
      <c r="G21" s="36"/>
      <c r="H21" s="36"/>
      <c r="J21" s="36"/>
      <c r="K21" s="19"/>
      <c r="L21"/>
      <c r="M21" s="36"/>
      <c r="N21" s="32"/>
      <c r="O21" s="36"/>
      <c r="P21" s="32"/>
      <c r="Q21" s="36"/>
      <c r="R21" s="32"/>
      <c r="S21" s="36"/>
      <c r="T21" s="32"/>
      <c r="U21" s="36"/>
      <c r="V21" s="32"/>
      <c r="X21" s="36"/>
    </row>
    <row r="22" spans="1:24" x14ac:dyDescent="0.25">
      <c r="A22" s="28"/>
      <c r="B22" s="36"/>
      <c r="C22" s="36"/>
      <c r="D22" s="2"/>
      <c r="E22" s="2"/>
      <c r="F22" s="36"/>
      <c r="G22" s="36"/>
      <c r="H22" s="36"/>
      <c r="J22" s="36"/>
      <c r="K22" s="19"/>
      <c r="L22"/>
      <c r="M22" s="36"/>
      <c r="N22" s="32"/>
      <c r="O22" s="36"/>
      <c r="P22" s="32"/>
      <c r="Q22" s="36"/>
      <c r="R22" s="32"/>
      <c r="S22" s="36"/>
      <c r="T22" s="32"/>
      <c r="U22" s="36"/>
      <c r="V22" s="32"/>
      <c r="X22" s="36"/>
    </row>
    <row r="23" spans="1:24" x14ac:dyDescent="0.25">
      <c r="A23" s="28"/>
      <c r="B23" s="36"/>
      <c r="C23" s="36"/>
      <c r="D23" s="2"/>
      <c r="E23" s="2"/>
      <c r="F23" s="36"/>
      <c r="G23" s="36"/>
      <c r="H23" s="36"/>
      <c r="J23" s="36"/>
      <c r="K23" s="19"/>
      <c r="L23"/>
      <c r="M23" s="36"/>
      <c r="N23" s="32"/>
      <c r="O23" s="36"/>
      <c r="P23" s="32"/>
      <c r="Q23" s="36"/>
      <c r="R23" s="32"/>
      <c r="S23" s="36"/>
      <c r="T23" s="32"/>
      <c r="U23" s="36"/>
      <c r="V23" s="32"/>
      <c r="X23" s="36"/>
    </row>
    <row r="24" spans="1:24" x14ac:dyDescent="0.25">
      <c r="A24" s="28"/>
      <c r="B24" s="36"/>
      <c r="C24" s="36"/>
      <c r="D24" s="2"/>
      <c r="E24" s="2"/>
      <c r="F24" s="36"/>
      <c r="G24" s="36"/>
      <c r="H24" s="36"/>
      <c r="J24" s="36"/>
      <c r="K24" s="19"/>
      <c r="L24"/>
      <c r="M24" s="36"/>
      <c r="N24" s="32"/>
      <c r="O24" s="36"/>
      <c r="P24" s="32"/>
      <c r="Q24" s="36"/>
      <c r="R24" s="32"/>
      <c r="S24" s="36"/>
      <c r="T24" s="32"/>
      <c r="U24" s="36"/>
      <c r="V24" s="32"/>
      <c r="X24" s="36"/>
    </row>
    <row r="25" spans="1:24" x14ac:dyDescent="0.25">
      <c r="A25" s="28"/>
      <c r="B25" s="36"/>
      <c r="C25" s="36"/>
      <c r="D25" s="2"/>
      <c r="E25" s="2"/>
      <c r="F25" s="36"/>
      <c r="G25" s="36"/>
      <c r="H25" s="36"/>
      <c r="J25" s="36"/>
      <c r="K25" s="19"/>
      <c r="L25"/>
      <c r="M25" s="36"/>
      <c r="N25" s="32"/>
      <c r="O25" s="36"/>
      <c r="P25" s="32"/>
      <c r="Q25" s="36"/>
      <c r="R25" s="32"/>
      <c r="S25" s="36"/>
      <c r="T25" s="32"/>
      <c r="U25" s="36"/>
      <c r="V25" s="32"/>
      <c r="X25" s="36"/>
    </row>
    <row r="26" spans="1:24" x14ac:dyDescent="0.25">
      <c r="A26" s="28"/>
      <c r="B26" s="36"/>
      <c r="C26" s="36"/>
      <c r="D26" s="2"/>
      <c r="E26" s="2"/>
      <c r="F26" s="36"/>
      <c r="G26" s="36"/>
      <c r="H26" s="36"/>
      <c r="J26" s="36"/>
      <c r="K26" s="19"/>
      <c r="L26"/>
      <c r="M26" s="36"/>
      <c r="N26" s="32"/>
      <c r="O26" s="36"/>
      <c r="P26" s="32"/>
      <c r="Q26" s="36"/>
      <c r="R26" s="32"/>
      <c r="S26" s="36"/>
      <c r="T26" s="32"/>
      <c r="U26" s="36"/>
      <c r="V26" s="32"/>
      <c r="X26" s="36"/>
    </row>
    <row r="27" spans="1:24" x14ac:dyDescent="0.25">
      <c r="A27" s="28"/>
      <c r="B27" s="36"/>
      <c r="C27" s="36"/>
      <c r="D27" s="2"/>
      <c r="E27" s="2"/>
      <c r="F27" s="36"/>
      <c r="G27" s="36"/>
      <c r="H27" s="36"/>
      <c r="J27" s="36"/>
      <c r="K27" s="19"/>
      <c r="L27"/>
      <c r="M27" s="36"/>
      <c r="N27" s="32"/>
      <c r="O27" s="36"/>
      <c r="P27" s="32"/>
      <c r="Q27" s="36"/>
      <c r="R27" s="32"/>
      <c r="S27" s="36"/>
      <c r="T27" s="32"/>
      <c r="U27" s="36"/>
      <c r="V27" s="32"/>
      <c r="X27" s="36"/>
    </row>
    <row r="28" spans="1:24" x14ac:dyDescent="0.25">
      <c r="A28" s="28"/>
      <c r="B28" s="36"/>
      <c r="C28" s="36"/>
      <c r="D28" s="2"/>
      <c r="E28" s="2"/>
      <c r="F28" s="36"/>
      <c r="G28" s="36"/>
      <c r="H28" s="36"/>
      <c r="J28" s="36"/>
      <c r="K28" s="19"/>
      <c r="L28"/>
      <c r="M28" s="36"/>
      <c r="N28" s="32"/>
      <c r="O28" s="36"/>
      <c r="P28" s="32"/>
      <c r="Q28" s="36"/>
      <c r="R28" s="32"/>
      <c r="S28" s="36"/>
      <c r="T28" s="32"/>
      <c r="U28" s="36"/>
      <c r="V28" s="32"/>
      <c r="X28" s="36"/>
    </row>
    <row r="29" spans="1:24" x14ac:dyDescent="0.25">
      <c r="A29" s="28"/>
      <c r="B29" s="36"/>
      <c r="C29" s="36"/>
      <c r="D29" s="2"/>
      <c r="E29" s="2"/>
      <c r="F29" s="36"/>
      <c r="G29" s="36"/>
      <c r="H29" s="36"/>
      <c r="J29" s="36"/>
      <c r="K29" s="19"/>
      <c r="L29"/>
      <c r="M29" s="36"/>
      <c r="N29" s="32"/>
      <c r="O29" s="36"/>
      <c r="P29" s="32"/>
      <c r="Q29" s="36"/>
      <c r="R29" s="32"/>
      <c r="S29" s="36"/>
      <c r="T29" s="32"/>
      <c r="U29" s="36"/>
      <c r="V29" s="32"/>
      <c r="X29" s="36"/>
    </row>
    <row r="30" spans="1:24" x14ac:dyDescent="0.25">
      <c r="A30" s="28"/>
      <c r="B30" s="36"/>
      <c r="C30" s="36"/>
      <c r="D30" s="2"/>
      <c r="E30" s="2"/>
      <c r="F30" s="36"/>
      <c r="G30" s="36"/>
      <c r="H30" s="36"/>
      <c r="J30" s="36"/>
      <c r="K30" s="19"/>
      <c r="L30"/>
      <c r="M30" s="36"/>
      <c r="N30" s="32"/>
      <c r="O30" s="36"/>
      <c r="P30" s="32"/>
      <c r="Q30" s="36"/>
      <c r="R30" s="32"/>
      <c r="S30" s="36"/>
      <c r="T30" s="32"/>
      <c r="U30" s="36"/>
      <c r="V30" s="32"/>
      <c r="X30" s="36"/>
    </row>
    <row r="31" spans="1:24" x14ac:dyDescent="0.25">
      <c r="A31" s="28"/>
      <c r="B31" s="36"/>
      <c r="C31" s="36"/>
      <c r="D31" s="2"/>
      <c r="E31" s="2"/>
      <c r="F31" s="36"/>
      <c r="G31" s="36"/>
      <c r="H31" s="36"/>
      <c r="J31" s="36"/>
      <c r="K31" s="19"/>
      <c r="L31"/>
      <c r="M31" s="36"/>
      <c r="N31" s="32"/>
      <c r="O31" s="36"/>
      <c r="P31" s="32"/>
      <c r="Q31" s="36"/>
      <c r="R31" s="32"/>
      <c r="S31" s="36"/>
      <c r="T31" s="32"/>
      <c r="U31" s="36"/>
      <c r="V31" s="32"/>
      <c r="X31" s="36"/>
    </row>
    <row r="32" spans="1:24" x14ac:dyDescent="0.25">
      <c r="A32" s="28"/>
      <c r="B32" s="36"/>
      <c r="C32" s="36"/>
      <c r="D32" s="2"/>
      <c r="E32" s="2"/>
      <c r="F32" s="36"/>
      <c r="G32" s="36"/>
      <c r="H32" s="36"/>
      <c r="J32" s="36"/>
      <c r="K32" s="19"/>
      <c r="L32"/>
      <c r="M32" s="37"/>
      <c r="N32" s="32"/>
      <c r="O32" s="37"/>
      <c r="P32" s="32"/>
      <c r="Q32" s="37"/>
      <c r="R32" s="32"/>
      <c r="S32" s="37"/>
      <c r="T32" s="32"/>
      <c r="U32" s="37"/>
      <c r="V32" s="32"/>
      <c r="X32" s="36"/>
    </row>
    <row r="33" spans="1:24" x14ac:dyDescent="0.25">
      <c r="A33" s="28"/>
      <c r="B33" s="36"/>
      <c r="C33" s="36"/>
      <c r="D33" s="2"/>
      <c r="E33" s="2"/>
      <c r="F33" s="36"/>
      <c r="G33" s="36"/>
      <c r="H33" s="36"/>
      <c r="J33" s="36"/>
      <c r="K33" s="19"/>
      <c r="L33"/>
      <c r="M33" s="36"/>
      <c r="N33" s="32"/>
      <c r="O33" s="36"/>
      <c r="P33" s="32"/>
      <c r="Q33" s="36"/>
      <c r="R33" s="32"/>
      <c r="S33" s="36"/>
      <c r="T33" s="32"/>
      <c r="U33" s="36"/>
      <c r="V33" s="32"/>
      <c r="X33" s="36"/>
    </row>
    <row r="34" spans="1:24" x14ac:dyDescent="0.25">
      <c r="A34" s="28"/>
      <c r="B34" s="36"/>
      <c r="C34" s="36"/>
      <c r="D34" s="2"/>
      <c r="E34" s="2"/>
      <c r="F34" s="36"/>
      <c r="G34" s="36"/>
      <c r="H34" s="36"/>
      <c r="J34" s="36"/>
      <c r="K34" s="19"/>
      <c r="L34"/>
      <c r="M34" s="36"/>
      <c r="N34" s="32"/>
      <c r="O34" s="36"/>
      <c r="P34" s="32"/>
      <c r="Q34" s="36"/>
      <c r="R34" s="32"/>
      <c r="S34" s="36"/>
      <c r="T34" s="32"/>
      <c r="U34" s="36"/>
      <c r="V34" s="32"/>
      <c r="X34" s="36"/>
    </row>
    <row r="35" spans="1:24" x14ac:dyDescent="0.25">
      <c r="A35" s="28"/>
      <c r="B35" s="36"/>
      <c r="C35" s="36"/>
      <c r="D35" s="2"/>
      <c r="E35" s="2"/>
      <c r="F35" s="36"/>
      <c r="G35" s="36"/>
      <c r="H35" s="36"/>
      <c r="J35" s="36"/>
      <c r="K35" s="19"/>
      <c r="L35"/>
      <c r="M35" s="36"/>
      <c r="N35" s="32"/>
      <c r="O35" s="36"/>
      <c r="P35" s="32"/>
      <c r="Q35" s="36"/>
      <c r="R35" s="32"/>
      <c r="S35" s="36"/>
      <c r="T35" s="32"/>
      <c r="U35" s="36"/>
      <c r="V35" s="32"/>
      <c r="X35" s="36"/>
    </row>
    <row r="36" spans="1:24" x14ac:dyDescent="0.25">
      <c r="A36" s="28"/>
      <c r="B36" s="36"/>
      <c r="C36" s="36"/>
      <c r="D36" s="2"/>
      <c r="E36" s="2"/>
      <c r="F36" s="36"/>
      <c r="G36" s="36"/>
      <c r="H36" s="36"/>
      <c r="J36" s="36"/>
      <c r="K36" s="19"/>
      <c r="L36"/>
      <c r="M36" s="36"/>
      <c r="N36" s="32"/>
      <c r="O36" s="36"/>
      <c r="P36" s="32"/>
      <c r="Q36" s="36"/>
      <c r="R36" s="32"/>
      <c r="S36" s="36"/>
      <c r="T36" s="32"/>
      <c r="U36" s="36"/>
      <c r="V36" s="32"/>
      <c r="X36" s="36"/>
    </row>
    <row r="37" spans="1:24" x14ac:dyDescent="0.25">
      <c r="A37" s="28"/>
      <c r="B37" s="36"/>
      <c r="C37" s="36"/>
      <c r="D37" s="2"/>
      <c r="E37" s="2"/>
      <c r="F37" s="36"/>
      <c r="G37" s="36"/>
      <c r="H37" s="36"/>
      <c r="J37" s="36"/>
      <c r="K37" s="19"/>
      <c r="L37"/>
      <c r="M37" s="36"/>
      <c r="N37" s="32"/>
      <c r="O37" s="36"/>
      <c r="P37" s="32"/>
      <c r="Q37" s="36"/>
      <c r="R37" s="32"/>
      <c r="S37" s="36"/>
      <c r="T37" s="32"/>
      <c r="U37" s="36"/>
      <c r="V37" s="32"/>
      <c r="X37" s="36"/>
    </row>
    <row r="38" spans="1:24" x14ac:dyDescent="0.25">
      <c r="A38" s="28"/>
      <c r="B38" s="36"/>
      <c r="C38" s="36"/>
      <c r="D38" s="2"/>
      <c r="E38" s="2"/>
      <c r="F38" s="36"/>
      <c r="G38" s="36"/>
      <c r="H38" s="36"/>
      <c r="J38" s="36"/>
      <c r="K38" s="19"/>
      <c r="L38"/>
      <c r="M38" s="36"/>
      <c r="N38" s="32"/>
      <c r="O38" s="36"/>
      <c r="P38" s="32"/>
      <c r="Q38" s="36"/>
      <c r="R38" s="32"/>
      <c r="S38" s="36"/>
      <c r="T38" s="32"/>
      <c r="U38" s="36"/>
      <c r="V38" s="32"/>
      <c r="X38" s="36"/>
    </row>
    <row r="39" spans="1:24" x14ac:dyDescent="0.25">
      <c r="A39" s="28"/>
      <c r="I39" s="36">
        <v>0</v>
      </c>
      <c r="J39" s="38"/>
      <c r="K39" s="39"/>
      <c r="N39" s="32"/>
      <c r="P39" s="32"/>
      <c r="R39" s="32"/>
      <c r="T39" s="32"/>
      <c r="V39" s="32"/>
    </row>
    <row r="41" spans="1:24" ht="14.25" customHeight="1" x14ac:dyDescent="0.25"/>
  </sheetData>
  <mergeCells count="1">
    <mergeCell ref="C1:E1"/>
  </mergeCells>
  <conditionalFormatting sqref="J1:J4 K5:K39 J39:J1048576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41"/>
  <sheetViews>
    <sheetView zoomScale="86" zoomScaleNormal="86" workbookViewId="0">
      <pane ySplit="5" topLeftCell="A7" activePane="bottomLeft" state="frozen"/>
      <selection pane="bottomLeft" activeCell="D39" sqref="D39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40" t="s">
        <v>2</v>
      </c>
      <c r="D1" s="41"/>
      <c r="E1" s="4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 t="shared" ref="J6:J38" si="0"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/>
      <c r="H7" s="31"/>
      <c r="I7" s="31">
        <v>2</v>
      </c>
      <c r="J7" s="30">
        <f t="shared" si="0"/>
        <v>0</v>
      </c>
      <c r="K7" s="19">
        <f>VendorInventory[[#This Row],[Total Qty Received              Do Not Modify]]/VendorInventory[[#This Row],[Total Qty]]</f>
        <v>0</v>
      </c>
      <c r="L7"/>
      <c r="M7" s="29"/>
      <c r="N7" s="18"/>
      <c r="O7" s="10"/>
      <c r="P7" s="18"/>
      <c r="Q7" s="10"/>
      <c r="R7" s="18"/>
      <c r="S7" s="10"/>
      <c r="T7" s="18"/>
      <c r="U7" s="10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/>
      <c r="H8" s="31"/>
      <c r="I8" s="31">
        <v>1</v>
      </c>
      <c r="J8" s="30">
        <f t="shared" si="0"/>
        <v>0</v>
      </c>
      <c r="K8" s="19">
        <f>VendorInventory[[#This Row],[Total Qty Received              Do Not Modify]]/VendorInventory[[#This Row],[Total Qty]]</f>
        <v>0</v>
      </c>
      <c r="L8" s="33"/>
      <c r="M8" s="32"/>
      <c r="N8" s="18"/>
      <c r="O8" s="32"/>
      <c r="P8" s="18"/>
      <c r="Q8" s="32"/>
      <c r="R8" s="18"/>
      <c r="S8" s="32"/>
      <c r="T8" s="18"/>
      <c r="U8" s="32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/>
      <c r="H9" s="31"/>
      <c r="I9" s="31">
        <v>1</v>
      </c>
      <c r="J9" s="30">
        <f t="shared" si="0"/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63</v>
      </c>
      <c r="C10" s="31">
        <v>106</v>
      </c>
      <c r="D10" s="2" t="s">
        <v>49</v>
      </c>
      <c r="E10" s="2" t="s">
        <v>50</v>
      </c>
      <c r="F10" s="31" t="s">
        <v>37</v>
      </c>
      <c r="G10" s="31"/>
      <c r="H10" s="31"/>
      <c r="I10" s="31">
        <v>1</v>
      </c>
      <c r="J10" s="30">
        <f t="shared" si="0"/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35</v>
      </c>
      <c r="C11" s="31">
        <v>107</v>
      </c>
      <c r="D11" s="2" t="s">
        <v>47</v>
      </c>
      <c r="E11" s="2" t="s">
        <v>48</v>
      </c>
      <c r="F11" s="31" t="s">
        <v>37</v>
      </c>
      <c r="G11" s="31"/>
      <c r="H11" s="31"/>
      <c r="I11" s="31">
        <v>1</v>
      </c>
      <c r="J11" s="30">
        <f t="shared" si="0"/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ht="15.75" customHeight="1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/>
      <c r="H12" s="31"/>
      <c r="I12" s="31">
        <v>2</v>
      </c>
      <c r="J12" s="30">
        <f t="shared" si="0"/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ht="15.75" customHeight="1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/>
      <c r="H13" s="31"/>
      <c r="I13" s="31">
        <v>1</v>
      </c>
      <c r="J13" s="30">
        <f t="shared" si="0"/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63</v>
      </c>
      <c r="C14" s="31">
        <v>105</v>
      </c>
      <c r="D14" s="2" t="s">
        <v>45</v>
      </c>
      <c r="E14" s="2" t="s">
        <v>46</v>
      </c>
      <c r="F14" s="31" t="s">
        <v>37</v>
      </c>
      <c r="G14" s="31"/>
      <c r="H14" s="31"/>
      <c r="I14" s="31">
        <v>2</v>
      </c>
      <c r="J14" s="30">
        <f t="shared" si="0"/>
        <v>0</v>
      </c>
      <c r="K14" s="19">
        <f>VendorInventory[[#This Row],[Total Qty Received              Do Not Modify]]/VendorInventory[[#This Row],[Total Qty]]</f>
        <v>0</v>
      </c>
      <c r="L14"/>
      <c r="M14" s="29"/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3738</v>
      </c>
      <c r="B15" s="31" t="s">
        <v>58</v>
      </c>
      <c r="C15" s="31">
        <v>103</v>
      </c>
      <c r="D15" s="2" t="s">
        <v>45</v>
      </c>
      <c r="E15" s="2" t="s">
        <v>46</v>
      </c>
      <c r="F15" s="31" t="s">
        <v>37</v>
      </c>
      <c r="G15" s="31"/>
      <c r="H15" s="31"/>
      <c r="I15" s="31">
        <v>16</v>
      </c>
      <c r="J15" s="30">
        <f t="shared" si="0"/>
        <v>1</v>
      </c>
      <c r="K15" s="19">
        <f>VendorInventory[[#This Row],[Total Qty Received              Do Not Modify]]/VendorInventory[[#This Row],[Total Qty]]</f>
        <v>6.25E-2</v>
      </c>
      <c r="L15"/>
      <c r="M15" s="29">
        <v>1</v>
      </c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35</v>
      </c>
      <c r="C16" s="31">
        <v>105</v>
      </c>
      <c r="D16" s="2" t="s">
        <v>45</v>
      </c>
      <c r="E16" s="2" t="s">
        <v>46</v>
      </c>
      <c r="F16" s="31" t="s">
        <v>37</v>
      </c>
      <c r="G16" s="31"/>
      <c r="H16" s="31"/>
      <c r="I16" s="31">
        <v>16</v>
      </c>
      <c r="J16" s="30">
        <f t="shared" si="0"/>
        <v>0</v>
      </c>
      <c r="K16" s="19">
        <f>VendorInventory[[#This Row],[Total Qty Received              Do Not Modify]]/VendorInventory[[#This Row],[Total Qty]]</f>
        <v>0</v>
      </c>
      <c r="L16"/>
      <c r="M16" s="29"/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57</v>
      </c>
      <c r="C17" s="31">
        <v>103</v>
      </c>
      <c r="D17" s="2" t="s">
        <v>41</v>
      </c>
      <c r="E17" s="2" t="s">
        <v>42</v>
      </c>
      <c r="F17" s="31" t="s">
        <v>37</v>
      </c>
      <c r="G17" s="31"/>
      <c r="H17" s="31"/>
      <c r="I17" s="31">
        <v>5</v>
      </c>
      <c r="J17" s="30">
        <f t="shared" si="0"/>
        <v>1</v>
      </c>
      <c r="K17" s="19">
        <f>VendorInventory[[#This Row],[Total Qty Received              Do Not Modify]]/VendorInventory[[#This Row],[Total Qty]]</f>
        <v>0.2</v>
      </c>
      <c r="L17"/>
      <c r="M17" s="29">
        <v>1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3738</v>
      </c>
      <c r="B18" s="31" t="s">
        <v>58</v>
      </c>
      <c r="C18" s="31">
        <v>101</v>
      </c>
      <c r="D18" s="2" t="s">
        <v>41</v>
      </c>
      <c r="E18" s="2" t="s">
        <v>42</v>
      </c>
      <c r="F18" s="31" t="s">
        <v>37</v>
      </c>
      <c r="G18" s="31"/>
      <c r="H18" s="31"/>
      <c r="I18" s="31">
        <v>2</v>
      </c>
      <c r="J18" s="30">
        <f t="shared" si="0"/>
        <v>1</v>
      </c>
      <c r="K18" s="19">
        <f>VendorInventory[[#This Row],[Total Qty Received              Do Not Modify]]/VendorInventory[[#This Row],[Total Qty]]</f>
        <v>0.5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103</v>
      </c>
      <c r="D19" s="2" t="s">
        <v>41</v>
      </c>
      <c r="E19" s="2" t="s">
        <v>42</v>
      </c>
      <c r="F19" s="31" t="s">
        <v>37</v>
      </c>
      <c r="G19" s="31"/>
      <c r="H19" s="31"/>
      <c r="I19" s="31">
        <v>5</v>
      </c>
      <c r="J19" s="30">
        <f t="shared" si="0"/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63</v>
      </c>
      <c r="C20" s="31">
        <v>104</v>
      </c>
      <c r="D20" s="2" t="s">
        <v>43</v>
      </c>
      <c r="E20" s="2" t="s">
        <v>44</v>
      </c>
      <c r="F20" s="31" t="s">
        <v>37</v>
      </c>
      <c r="G20" s="31"/>
      <c r="H20" s="31"/>
      <c r="I20" s="31">
        <v>4</v>
      </c>
      <c r="J20" s="30">
        <f t="shared" si="0"/>
        <v>0</v>
      </c>
      <c r="K20" s="19">
        <f>VendorInventory[[#This Row],[Total Qty Received              Do Not Modify]]/VendorInventory[[#This Row],[Total Qty]]</f>
        <v>0</v>
      </c>
      <c r="L20"/>
      <c r="M20" s="29"/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3738</v>
      </c>
      <c r="B21" s="31" t="s">
        <v>58</v>
      </c>
      <c r="C21" s="31">
        <v>102</v>
      </c>
      <c r="D21" s="2" t="s">
        <v>43</v>
      </c>
      <c r="E21" s="2" t="s">
        <v>44</v>
      </c>
      <c r="F21" s="31" t="s">
        <v>37</v>
      </c>
      <c r="G21" s="31"/>
      <c r="H21" s="31"/>
      <c r="I21" s="31">
        <v>2</v>
      </c>
      <c r="J21" s="30">
        <f t="shared" si="0"/>
        <v>1</v>
      </c>
      <c r="K21" s="19">
        <f>VendorInventory[[#This Row],[Total Qty Received              Do Not Modify]]/VendorInventory[[#This Row],[Total Qty]]</f>
        <v>0.5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104</v>
      </c>
      <c r="D22" s="2" t="s">
        <v>43</v>
      </c>
      <c r="E22" s="2" t="s">
        <v>44</v>
      </c>
      <c r="F22" s="31" t="s">
        <v>37</v>
      </c>
      <c r="G22" s="31"/>
      <c r="H22" s="31"/>
      <c r="I22" s="31">
        <v>1</v>
      </c>
      <c r="J22" s="30">
        <f t="shared" si="0"/>
        <v>0</v>
      </c>
      <c r="K22" s="19">
        <f>VendorInventory[[#This Row],[Total Qty Received              Do Not Modify]]/VendorInventory[[#This Row],[Total Qty]]</f>
        <v>0</v>
      </c>
      <c r="L22"/>
      <c r="M22" s="29"/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57</v>
      </c>
      <c r="C23" s="31">
        <v>101</v>
      </c>
      <c r="D23" s="2" t="s">
        <v>24</v>
      </c>
      <c r="E23" s="2" t="s">
        <v>36</v>
      </c>
      <c r="F23" s="31" t="s">
        <v>37</v>
      </c>
      <c r="G23" s="31"/>
      <c r="H23" s="31"/>
      <c r="I23" s="31">
        <v>2</v>
      </c>
      <c r="J23" s="30">
        <f t="shared" si="0"/>
        <v>1</v>
      </c>
      <c r="K23" s="19">
        <f>VendorInventory[[#This Row],[Total Qty Received              Do Not Modify]]/VendorInventory[[#This Row],[Total Qty]]</f>
        <v>0.5</v>
      </c>
      <c r="L23"/>
      <c r="M23" s="29">
        <v>1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100</v>
      </c>
      <c r="D24" s="2" t="s">
        <v>24</v>
      </c>
      <c r="E24" s="2" t="s">
        <v>36</v>
      </c>
      <c r="F24" s="31" t="s">
        <v>37</v>
      </c>
      <c r="G24" s="31"/>
      <c r="H24" s="31"/>
      <c r="I24" s="31">
        <v>1</v>
      </c>
      <c r="J24" s="30">
        <f t="shared" si="0"/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3738</v>
      </c>
      <c r="B25" s="31" t="s">
        <v>63</v>
      </c>
      <c r="C25" s="31">
        <v>100</v>
      </c>
      <c r="D25" s="2" t="s">
        <v>24</v>
      </c>
      <c r="E25" s="2" t="s">
        <v>36</v>
      </c>
      <c r="F25" s="31" t="s">
        <v>37</v>
      </c>
      <c r="G25" s="31"/>
      <c r="H25" s="31"/>
      <c r="I25" s="31">
        <v>1</v>
      </c>
      <c r="J25" s="30">
        <f t="shared" si="0"/>
        <v>1</v>
      </c>
      <c r="K25" s="19">
        <f>VendorInventory[[#This Row],[Total Qty Received              Do Not Modify]]/VendorInventory[[#This Row],[Total Qty]]</f>
        <v>1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3738</v>
      </c>
      <c r="B26" s="31" t="s">
        <v>63</v>
      </c>
      <c r="C26" s="31">
        <v>102</v>
      </c>
      <c r="D26" s="2" t="s">
        <v>25</v>
      </c>
      <c r="E26" s="2" t="s">
        <v>40</v>
      </c>
      <c r="F26" s="31" t="s">
        <v>37</v>
      </c>
      <c r="G26" s="31"/>
      <c r="H26" s="31"/>
      <c r="I26" s="31">
        <v>2</v>
      </c>
      <c r="J26" s="30">
        <f t="shared" si="0"/>
        <v>1</v>
      </c>
      <c r="K26" s="19">
        <f>VendorInventory[[#This Row],[Total Qty Received              Do Not Modify]]/VendorInventory[[#This Row],[Total Qty]]</f>
        <v>0.5</v>
      </c>
      <c r="L26"/>
      <c r="M26" s="29">
        <v>1</v>
      </c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35</v>
      </c>
      <c r="C27" s="31">
        <v>102</v>
      </c>
      <c r="D27" s="2" t="s">
        <v>25</v>
      </c>
      <c r="E27" s="2" t="s">
        <v>40</v>
      </c>
      <c r="F27" s="31" t="s">
        <v>37</v>
      </c>
      <c r="G27" s="31"/>
      <c r="H27" s="31"/>
      <c r="I27" s="31">
        <v>4</v>
      </c>
      <c r="J27" s="30">
        <f t="shared" si="0"/>
        <v>3</v>
      </c>
      <c r="K27" s="19">
        <f>VendorInventory[[#This Row],[Total Qty Received              Do Not Modify]]/VendorInventory[[#This Row],[Total Qty]]</f>
        <v>0.75</v>
      </c>
      <c r="L27"/>
      <c r="M27" s="29">
        <v>3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57</v>
      </c>
      <c r="C28" s="31">
        <v>102</v>
      </c>
      <c r="D28" s="2" t="s">
        <v>38</v>
      </c>
      <c r="E28" s="2" t="s">
        <v>39</v>
      </c>
      <c r="F28" s="31" t="s">
        <v>37</v>
      </c>
      <c r="G28" s="31"/>
      <c r="H28" s="31"/>
      <c r="I28" s="31">
        <v>1</v>
      </c>
      <c r="J28" s="30">
        <f t="shared" si="0"/>
        <v>1</v>
      </c>
      <c r="K28" s="19">
        <f>VendorInventory[[#This Row],[Total Qty Received              Do Not Modify]]/VendorInventory[[#This Row],[Total Qty]]</f>
        <v>1</v>
      </c>
      <c r="L28"/>
      <c r="M28" s="29">
        <v>1</v>
      </c>
      <c r="N28" s="18"/>
      <c r="O28" s="10"/>
      <c r="P28" s="18"/>
      <c r="Q28" s="10"/>
      <c r="R28" s="18"/>
      <c r="S28" s="10"/>
      <c r="T28" s="18"/>
      <c r="U28" s="10"/>
      <c r="V28" s="18"/>
      <c r="X28" s="10"/>
    </row>
    <row r="29" spans="1:24" x14ac:dyDescent="0.25">
      <c r="A29" s="28">
        <v>3737</v>
      </c>
      <c r="B29" s="31" t="s">
        <v>63</v>
      </c>
      <c r="C29" s="31">
        <v>103</v>
      </c>
      <c r="D29" s="2" t="s">
        <v>59</v>
      </c>
      <c r="E29" s="2" t="s">
        <v>60</v>
      </c>
      <c r="F29" s="31" t="s">
        <v>37</v>
      </c>
      <c r="G29" s="31"/>
      <c r="H29" s="31"/>
      <c r="I29" s="31">
        <v>1</v>
      </c>
      <c r="J29" s="30">
        <f t="shared" si="0"/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3737</v>
      </c>
      <c r="B30" s="31" t="s">
        <v>57</v>
      </c>
      <c r="C30" s="31">
        <v>107</v>
      </c>
      <c r="D30" s="2" t="s">
        <v>59</v>
      </c>
      <c r="E30" s="2" t="s">
        <v>60</v>
      </c>
      <c r="F30" s="31" t="s">
        <v>37</v>
      </c>
      <c r="G30" s="31"/>
      <c r="H30" s="31"/>
      <c r="I30" s="31">
        <v>1</v>
      </c>
      <c r="J30" s="30">
        <f t="shared" si="0"/>
        <v>1</v>
      </c>
      <c r="K30" s="19">
        <f>VendorInventory[[#This Row],[Total Qty Received              Do Not Modify]]/VendorInventory[[#This Row],[Total Qty]]</f>
        <v>1</v>
      </c>
      <c r="L30"/>
      <c r="M30" s="29">
        <v>1</v>
      </c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3737</v>
      </c>
      <c r="B31" s="31" t="s">
        <v>63</v>
      </c>
      <c r="C31" s="31">
        <v>107</v>
      </c>
      <c r="D31" s="2" t="s">
        <v>59</v>
      </c>
      <c r="E31" s="2" t="s">
        <v>60</v>
      </c>
      <c r="F31" s="31" t="s">
        <v>37</v>
      </c>
      <c r="G31" s="31"/>
      <c r="H31" s="31"/>
      <c r="I31" s="31">
        <v>1</v>
      </c>
      <c r="J31" s="30">
        <f t="shared" si="0"/>
        <v>0</v>
      </c>
      <c r="K31" s="19">
        <f>VendorInventory[[#This Row],[Total Qty Received              Do Not Modify]]/VendorInventory[[#This Row],[Total Qty]]</f>
        <v>0</v>
      </c>
      <c r="L31"/>
      <c r="M31" s="29"/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3737</v>
      </c>
      <c r="B32" s="31" t="s">
        <v>35</v>
      </c>
      <c r="C32" s="31">
        <v>100</v>
      </c>
      <c r="D32" s="2" t="s">
        <v>53</v>
      </c>
      <c r="E32" s="2" t="s">
        <v>54</v>
      </c>
      <c r="F32" s="31" t="s">
        <v>37</v>
      </c>
      <c r="G32" s="31"/>
      <c r="H32" s="31"/>
      <c r="I32" s="31">
        <v>1</v>
      </c>
      <c r="J32" s="30">
        <f t="shared" si="0"/>
        <v>1</v>
      </c>
      <c r="K32" s="19">
        <f>VendorInventory[[#This Row],[Total Qty Received              Do Not Modify]]/VendorInventory[[#This Row],[Total Qty]]</f>
        <v>1</v>
      </c>
      <c r="L32"/>
      <c r="M32" s="29">
        <v>1</v>
      </c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3737</v>
      </c>
      <c r="B33" s="31" t="s">
        <v>35</v>
      </c>
      <c r="C33" s="31">
        <v>109</v>
      </c>
      <c r="D33" s="2" t="s">
        <v>53</v>
      </c>
      <c r="E33" s="2" t="s">
        <v>54</v>
      </c>
      <c r="F33" s="31" t="s">
        <v>37</v>
      </c>
      <c r="G33" s="31"/>
      <c r="H33" s="31"/>
      <c r="I33" s="31">
        <v>1</v>
      </c>
      <c r="J33" s="30">
        <f t="shared" si="0"/>
        <v>0</v>
      </c>
      <c r="K33" s="19">
        <f>VendorInventory[[#This Row],[Total Qty Received              Do Not Modify]]/VendorInventory[[#This Row],[Total Qty]]</f>
        <v>0</v>
      </c>
      <c r="L33"/>
      <c r="M33" s="29"/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3737</v>
      </c>
      <c r="B34" s="31" t="s">
        <v>58</v>
      </c>
      <c r="C34" s="31">
        <v>100</v>
      </c>
      <c r="D34" s="2" t="s">
        <v>61</v>
      </c>
      <c r="E34" s="2" t="s">
        <v>62</v>
      </c>
      <c r="F34" s="31" t="s">
        <v>37</v>
      </c>
      <c r="G34" s="31"/>
      <c r="H34" s="31"/>
      <c r="I34" s="31">
        <v>2</v>
      </c>
      <c r="J34" s="30">
        <f t="shared" si="0"/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3737</v>
      </c>
      <c r="B35" s="31" t="s">
        <v>57</v>
      </c>
      <c r="C35" s="31">
        <v>108</v>
      </c>
      <c r="D35" s="2" t="s">
        <v>61</v>
      </c>
      <c r="E35" s="2" t="s">
        <v>62</v>
      </c>
      <c r="F35" s="31" t="s">
        <v>37</v>
      </c>
      <c r="G35" s="31"/>
      <c r="H35" s="31"/>
      <c r="I35" s="31">
        <v>1</v>
      </c>
      <c r="J35" s="30">
        <f t="shared" si="0"/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3737</v>
      </c>
      <c r="B36" s="31" t="s">
        <v>63</v>
      </c>
      <c r="C36" s="31">
        <v>108</v>
      </c>
      <c r="D36" s="2" t="s">
        <v>61</v>
      </c>
      <c r="E36" s="2" t="s">
        <v>62</v>
      </c>
      <c r="F36" s="31" t="s">
        <v>37</v>
      </c>
      <c r="G36" s="31"/>
      <c r="H36" s="31"/>
      <c r="I36" s="31">
        <v>1</v>
      </c>
      <c r="J36" s="30">
        <f t="shared" si="0"/>
        <v>0</v>
      </c>
      <c r="K36" s="19">
        <f>VendorInventory[[#This Row],[Total Qty Received              Do Not Modify]]/VendorInventory[[#This Row],[Total Qty]]</f>
        <v>0</v>
      </c>
      <c r="L36"/>
      <c r="M36" s="10"/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3737</v>
      </c>
      <c r="B37" s="31" t="s">
        <v>63</v>
      </c>
      <c r="C37" s="31">
        <v>101</v>
      </c>
      <c r="D37" s="2" t="s">
        <v>55</v>
      </c>
      <c r="E37" s="2" t="s">
        <v>56</v>
      </c>
      <c r="F37" s="31" t="s">
        <v>37</v>
      </c>
      <c r="G37" s="31"/>
      <c r="H37" s="31"/>
      <c r="I37" s="31">
        <v>2</v>
      </c>
      <c r="J37" s="30">
        <f t="shared" si="0"/>
        <v>1</v>
      </c>
      <c r="K37" s="19">
        <f>VendorInventory[[#This Row],[Total Qty Received              Do Not Modify]]/VendorInventory[[#This Row],[Total Qty]]</f>
        <v>0.5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3737</v>
      </c>
      <c r="B38" s="31" t="s">
        <v>35</v>
      </c>
      <c r="C38" s="31">
        <v>110</v>
      </c>
      <c r="D38" s="2" t="s">
        <v>55</v>
      </c>
      <c r="E38" s="2" t="s">
        <v>56</v>
      </c>
      <c r="F38" s="31" t="s">
        <v>37</v>
      </c>
      <c r="G38" s="31"/>
      <c r="H38" s="31"/>
      <c r="I38" s="31">
        <v>1</v>
      </c>
      <c r="J38" s="30">
        <f t="shared" si="0"/>
        <v>1</v>
      </c>
      <c r="K38" s="19">
        <f>VendorInventory[[#This Row],[Total Qty Received              Do Not Modify]]/VendorInventory[[#This Row],[Total Qty]]</f>
        <v>1</v>
      </c>
      <c r="L38"/>
      <c r="M38" s="33">
        <v>1</v>
      </c>
      <c r="N38" s="18"/>
      <c r="O38" s="33"/>
      <c r="P38" s="18"/>
      <c r="Q38" s="33"/>
      <c r="R38" s="18"/>
      <c r="S38" s="33"/>
      <c r="T38" s="18"/>
      <c r="U38" s="33"/>
      <c r="V38" s="18"/>
      <c r="X38" s="10"/>
    </row>
    <row r="41" spans="1:24" ht="14.25" customHeight="1" x14ac:dyDescent="0.25"/>
  </sheetData>
  <mergeCells count="1">
    <mergeCell ref="C1:E1"/>
  </mergeCells>
  <phoneticPr fontId="12" type="noConversion"/>
  <conditionalFormatting sqref="J1:J4 K5:K38 J39:J1048576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sumarize_btn">
          <controlPr defaultSize="0" autoLine="0" r:id="rId5">
            <anchor moveWithCells="1">
              <from>
                <xdr:col>2</xdr:col>
                <xdr:colOff>9525</xdr:colOff>
                <xdr:row>39</xdr:row>
                <xdr:rowOff>9525</xdr:rowOff>
              </from>
              <to>
                <xdr:col>3</xdr:col>
                <xdr:colOff>66675</xdr:colOff>
                <xdr:row>41</xdr:row>
                <xdr:rowOff>19050</xdr:rowOff>
              </to>
            </anchor>
          </controlPr>
        </control>
      </mc:Choice>
      <mc:Fallback>
        <control shapeId="3074" r:id="rId4" name="sumarize_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29"/>
  <sheetViews>
    <sheetView workbookViewId="0">
      <selection activeCell="C4" sqref="C4"/>
    </sheetView>
  </sheetViews>
  <sheetFormatPr defaultRowHeight="15" x14ac:dyDescent="0.25"/>
  <cols>
    <col min="1" max="1" width="23.28515625" bestFit="1" customWidth="1"/>
    <col min="2" max="2" width="9.42578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4" t="s">
        <v>64</v>
      </c>
      <c r="E1" s="42"/>
      <c r="F1" s="42"/>
      <c r="G1" s="42"/>
      <c r="H1" s="42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2</v>
      </c>
      <c r="C5" s="28">
        <v>1</v>
      </c>
    </row>
    <row r="6" spans="1:8" x14ac:dyDescent="0.25">
      <c r="A6" s="2" t="s">
        <v>47</v>
      </c>
      <c r="B6" s="28">
        <v>4</v>
      </c>
      <c r="C6" s="28">
        <v>1</v>
      </c>
    </row>
    <row r="7" spans="1:8" x14ac:dyDescent="0.25">
      <c r="A7" s="2" t="s">
        <v>45</v>
      </c>
      <c r="B7" s="28">
        <v>34</v>
      </c>
      <c r="C7" s="28">
        <v>1</v>
      </c>
    </row>
    <row r="8" spans="1:8" x14ac:dyDescent="0.25">
      <c r="A8" s="2" t="s">
        <v>41</v>
      </c>
      <c r="B8" s="28">
        <v>12</v>
      </c>
      <c r="C8" s="28">
        <v>2</v>
      </c>
    </row>
    <row r="9" spans="1:8" x14ac:dyDescent="0.25">
      <c r="A9" s="2" t="s">
        <v>43</v>
      </c>
      <c r="B9" s="28">
        <v>7</v>
      </c>
      <c r="C9" s="28">
        <v>1</v>
      </c>
    </row>
    <row r="10" spans="1:8" x14ac:dyDescent="0.25">
      <c r="A10" s="2" t="s">
        <v>24</v>
      </c>
      <c r="B10" s="28">
        <v>4</v>
      </c>
      <c r="C10" s="28">
        <v>3</v>
      </c>
    </row>
    <row r="11" spans="1:8" x14ac:dyDescent="0.25">
      <c r="A11" s="2" t="s">
        <v>25</v>
      </c>
      <c r="B11" s="28">
        <v>6</v>
      </c>
      <c r="C11" s="28">
        <v>4</v>
      </c>
    </row>
    <row r="12" spans="1:8" x14ac:dyDescent="0.25">
      <c r="A12" s="2" t="s">
        <v>38</v>
      </c>
      <c r="B12" s="28">
        <v>1</v>
      </c>
      <c r="C12" s="28">
        <v>1</v>
      </c>
    </row>
    <row r="13" spans="1:8" x14ac:dyDescent="0.25">
      <c r="A13" s="2" t="s">
        <v>59</v>
      </c>
      <c r="B13" s="28">
        <v>3</v>
      </c>
      <c r="C13" s="28">
        <v>2</v>
      </c>
    </row>
    <row r="14" spans="1:8" x14ac:dyDescent="0.25">
      <c r="A14" s="2" t="s">
        <v>53</v>
      </c>
      <c r="B14" s="28">
        <v>2</v>
      </c>
      <c r="C14" s="28">
        <v>1</v>
      </c>
    </row>
    <row r="15" spans="1:8" x14ac:dyDescent="0.25">
      <c r="A15" s="2" t="s">
        <v>61</v>
      </c>
      <c r="B15" s="28">
        <v>4</v>
      </c>
      <c r="C15" s="28">
        <v>2</v>
      </c>
    </row>
    <row r="16" spans="1:8" x14ac:dyDescent="0.25">
      <c r="A16" s="2" t="s">
        <v>55</v>
      </c>
      <c r="B16" s="28">
        <v>3</v>
      </c>
      <c r="C16" s="28">
        <v>2</v>
      </c>
    </row>
    <row r="17" spans="2:3" x14ac:dyDescent="0.25">
      <c r="B17"/>
      <c r="C17"/>
    </row>
    <row r="18" spans="2:3" x14ac:dyDescent="0.25">
      <c r="B18"/>
      <c r="C18"/>
    </row>
    <row r="19" spans="2:3" x14ac:dyDescent="0.25">
      <c r="B19"/>
      <c r="C19"/>
    </row>
    <row r="20" spans="2:3" x14ac:dyDescent="0.25">
      <c r="B20"/>
      <c r="C20"/>
    </row>
    <row r="21" spans="2:3" x14ac:dyDescent="0.25">
      <c r="B21"/>
      <c r="C21"/>
    </row>
    <row r="22" spans="2:3" x14ac:dyDescent="0.25">
      <c r="B22"/>
      <c r="C22"/>
    </row>
    <row r="23" spans="2:3" x14ac:dyDescent="0.25">
      <c r="B23"/>
      <c r="C23"/>
    </row>
    <row r="24" spans="2:3" x14ac:dyDescent="0.25">
      <c r="B24"/>
      <c r="C24"/>
    </row>
    <row r="25" spans="2:3" x14ac:dyDescent="0.25">
      <c r="B25"/>
      <c r="C25"/>
    </row>
    <row r="26" spans="2:3" x14ac:dyDescent="0.25">
      <c r="B26"/>
      <c r="C26"/>
    </row>
    <row r="27" spans="2:3" x14ac:dyDescent="0.25">
      <c r="B27"/>
      <c r="C27"/>
    </row>
    <row r="28" spans="2:3" x14ac:dyDescent="0.25">
      <c r="B28"/>
      <c r="C28"/>
    </row>
    <row r="29" spans="2:3" x14ac:dyDescent="0.25">
      <c r="B29"/>
      <c r="C29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http://www.w3.org/XML/1998/namespace"/>
    <ds:schemaRef ds:uri="http://schemas.openxmlformats.org/package/2006/metadata/core-properties"/>
    <ds:schemaRef ds:uri="9e6433d9-abed-44b4-b4a4-2f76def36a23"/>
    <ds:schemaRef ds:uri="bc44d22b-a5eb-444a-9949-f291459b383e"/>
  </ds:schemaRefs>
</ds:datastoreItem>
</file>

<file path=customXml/itemProps3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2020-07-29T21:43:44Z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