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B566D175-B624-4A68-8EF1-073F38D769F0}" xr6:coauthVersionLast="45" xr6:coauthVersionMax="45" xr10:uidLastSave="{00000000-0000-0000-0000-000000000000}"/>
  <bookViews>
    <workbookView xWindow="-120" yWindow="-120" windowWidth="29040" windowHeight="15840" xr2:uid="{73259029-2848-4C8A-ABD7-1368A1865A41}"/>
  </bookViews>
  <sheets>
    <sheet name="PowerSummary" sheetId="5" r:id="rId1"/>
    <sheet name="Summary" sheetId="3" r:id="rId2"/>
    <sheet name="Inventory" sheetId="1" r:id="rId3"/>
    <sheet name="Totals" sheetId="2" r:id="rId4"/>
  </sheets>
  <definedNames>
    <definedName name="ExternalData_1" localSheetId="0" hidden="1">PowerSummary!$A$5:$H$24</definedName>
  </definedNames>
  <calcPr calcId="191029"/>
  <pivotCaches>
    <pivotCache cacheId="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" i="1" l="1"/>
  <c r="K8" i="1" s="1"/>
  <c r="J23" i="1" l="1"/>
  <c r="K23" i="1" s="1"/>
  <c r="J22" i="1"/>
  <c r="K22" i="1" s="1"/>
  <c r="J17" i="1"/>
  <c r="K17" i="1" s="1"/>
  <c r="J19" i="1"/>
  <c r="K19" i="1" s="1"/>
  <c r="J15" i="1"/>
  <c r="K15" i="1" s="1"/>
  <c r="J13" i="1"/>
  <c r="K13" i="1" s="1"/>
  <c r="J10" i="1"/>
  <c r="K10" i="1" s="1"/>
  <c r="J7" i="1"/>
  <c r="K7" i="1" s="1"/>
  <c r="J26" i="1"/>
  <c r="K26" i="1" s="1"/>
  <c r="J29" i="1"/>
  <c r="K29" i="1" s="1"/>
  <c r="J21" i="1"/>
  <c r="K21" i="1" s="1"/>
  <c r="J16" i="1"/>
  <c r="K16" i="1" s="1"/>
  <c r="J18" i="1"/>
  <c r="K18" i="1" s="1"/>
  <c r="J14" i="1"/>
  <c r="K14" i="1" s="1"/>
  <c r="J12" i="1"/>
  <c r="K12" i="1" s="1"/>
  <c r="J9" i="1"/>
  <c r="K9" i="1" s="1"/>
  <c r="J6" i="1"/>
  <c r="K6" i="1" s="1"/>
  <c r="J24" i="1"/>
  <c r="K24" i="1" s="1"/>
  <c r="J27" i="1"/>
  <c r="K27" i="1" s="1"/>
  <c r="J38" i="1"/>
  <c r="K38" i="1" s="1"/>
  <c r="J33" i="1"/>
  <c r="K33" i="1" s="1"/>
  <c r="J36" i="1"/>
  <c r="K36" i="1" s="1"/>
  <c r="J31" i="1"/>
  <c r="K31" i="1" s="1"/>
  <c r="J37" i="1"/>
  <c r="K37" i="1" s="1"/>
  <c r="J39" i="1"/>
  <c r="K39" i="1" s="1"/>
  <c r="J34" i="1"/>
  <c r="K34" i="1" s="1"/>
  <c r="J35" i="1"/>
  <c r="K35" i="1" s="1"/>
  <c r="J32" i="1"/>
  <c r="K32" i="1" s="1"/>
  <c r="J30" i="1"/>
  <c r="K30" i="1" s="1"/>
  <c r="J11" i="1"/>
  <c r="K11" i="1" s="1"/>
  <c r="J25" i="1"/>
  <c r="K25" i="1" s="1"/>
  <c r="J28" i="1"/>
  <c r="K28" i="1" s="1"/>
  <c r="J20" i="1" l="1"/>
  <c r="K2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302D1C-0AED-4E76-A6B4-B8A39812D817}" keepAlive="1" name="Query - PowerSummary" description="Connection to the 'PowerSummary' query in the workbook." type="5" refreshedVersion="6" background="1" saveData="1">
    <dbPr connection="Provider=Microsoft.Mashup.OleDb.1;Data Source=$Workbook$;Location=PowerSummary;Extended Properties=&quot;&quot;" command="SELECT * FROM [PowerSummary]"/>
  </connection>
</connections>
</file>

<file path=xl/sharedStrings.xml><?xml version="1.0" encoding="utf-8"?>
<sst xmlns="http://schemas.openxmlformats.org/spreadsheetml/2006/main" count="343" uniqueCount="66">
  <si>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</si>
  <si>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</si>
  <si>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</si>
  <si>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</si>
  <si>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</si>
  <si>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</si>
  <si>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</si>
  <si>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</si>
  <si>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</si>
  <si>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</si>
  <si>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</si>
  <si>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</si>
  <si>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</si>
  <si>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</si>
  <si>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</si>
  <si>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</si>
  <si>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</si>
  <si>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</si>
  <si>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</si>
  <si>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</si>
  <si>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</si>
  <si>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</si>
  <si>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</si>
  <si>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</si>
  <si>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</si>
  <si>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</si>
  <si>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</si>
  <si>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</si>
  <si>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</si>
  <si>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</si>
  <si>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</si>
  <si>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</si>
  <si>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</si>
  <si>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</si>
  <si>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</si>
  <si>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</si>
  <si>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</si>
  <si>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</si>
  <si>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</si>
  <si>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</si>
  <si>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</si>
  <si>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</si>
  <si>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</si>
  <si>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</si>
  <si>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</si>
  <si>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</si>
  <si>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</si>
  <si>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</si>
  <si>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</si>
  <si>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</si>
  <si>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</si>
  <si>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</si>
  <si>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</si>
  <si>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</si>
  <si>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</si>
  <si>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</si>
  <si>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</si>
  <si>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</si>
  <si>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</si>
  <si>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</si>
  <si>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</si>
  <si>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</si>
  <si>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</si>
  <si>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</si>
  <si>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Inventory Summary Sheet</t>
  </si>
  <si>
    <t>Received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</si>
</sst>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63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2" borderId="4" xfId="0" applyNumberFormat="1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/>
    </xf>
    <xf numFmtId="0" fontId="6" fillId="4" borderId="5" xfId="0" applyNumberFormat="1" applyFont="1" applyFill="1" applyBorder="1" applyAlignment="1">
      <alignment horizontal="center" wrapText="1"/>
    </xf>
    <xf numFmtId="0" fontId="8" fillId="3" borderId="6" xfId="0" applyNumberFormat="1" applyFont="1" applyFill="1" applyBorder="1" applyAlignment="1">
      <alignment horizontal="center" wrapText="1"/>
    </xf>
    <xf numFmtId="0" fontId="6" fillId="5" borderId="6" xfId="0" applyNumberFormat="1" applyFont="1" applyFill="1" applyBorder="1" applyAlignment="1">
      <alignment horizontal="center" wrapText="1"/>
    </xf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2" applyFont="1" applyBorder="1" applyAlignment="1">
      <alignment horizontal="left"/>
    </xf>
    <xf numFmtId="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Alignment="1">
      <alignment horizontal="center" vertical="center"/>
    </xf>
    <xf numFmtId="0" fontId="14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9" fontId="15" fillId="0" borderId="0" xfId="0" applyNumberFormat="1" applyFont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0" xfId="1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45"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1928132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942975</xdr:colOff>
          <xdr:row>1</xdr:row>
          <xdr:rowOff>152400</xdr:rowOff>
        </xdr:from>
        <xdr:to>
          <xdr:col>4</xdr:col>
          <xdr:colOff>9525</xdr:colOff>
          <xdr:row>2</xdr:row>
          <xdr:rowOff>266700</xdr:rowOff>
        </xdr:to>
        <xdr:sp macro="" textlink="">
          <xdr:nvSpPr>
            <xdr:cNvPr id="3073" name="summarize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46.85854976852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07CBL-ECLYPSE6HD1590"/>
        <s v="CDIDI-BOS8NOWIFI"/>
        <s v="CDIY-8UI-00"/>
        <s v="CDIY-8UI6UOHOA-00"/>
        <s v="CDIY-PS24-00"/>
        <s v="CDIY-S1000ENVY-00"/>
        <s v="PDIDS-HC10-00"/>
        <s v="PS-2ADP04WCDX"/>
        <s v="PS-2ADP12WCDX"/>
        <s v="SDITR-NC-8025"/>
        <s v="SDITR-NC-8100"/>
        <s v="SDITR-SMA-BOS8025-3YR"/>
        <s v="SDITR-SMA-BOS8100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61"/>
    <n v="106"/>
    <x v="0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56"/>
    <n v="108"/>
    <x v="0"/>
    <s v="INTERCONNECT CABLE"/>
    <s v="DISTECH"/>
    <n v="2"/>
    <n v="1"/>
    <n v="2"/>
    <n v="0"/>
    <n v="0"/>
    <m/>
    <m/>
    <m/>
    <m/>
    <m/>
    <m/>
    <m/>
    <m/>
    <m/>
    <m/>
    <m/>
  </r>
  <r>
    <x v="0"/>
    <s v="AWS_CP_065"/>
    <n v="109"/>
    <x v="0"/>
    <s v="INTERCONNECT CABLE"/>
    <s v="DISTECH"/>
    <n v="1"/>
    <n v="1"/>
    <n v="1"/>
    <n v="0"/>
    <n v="0"/>
    <m/>
    <m/>
    <m/>
    <m/>
    <m/>
    <m/>
    <m/>
    <m/>
    <m/>
    <m/>
    <m/>
  </r>
  <r>
    <x v="0"/>
    <s v="AWS_CP_061"/>
    <n v="105"/>
    <x v="1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56"/>
    <n v="107"/>
    <x v="1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6"/>
    <x v="1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1"/>
    <n v="104"/>
    <x v="2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56"/>
    <n v="106"/>
    <x v="2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61"/>
    <n v="103"/>
    <x v="3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56"/>
    <n v="105"/>
    <x v="3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61"/>
    <n v="101"/>
    <x v="4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56"/>
    <n v="103"/>
    <x v="4"/>
    <s v="ECLYPSE POWER SUPPLY"/>
    <s v="DISTECH"/>
    <n v="5"/>
    <n v="1"/>
    <n v="5"/>
    <n v="0"/>
    <n v="0"/>
    <m/>
    <m/>
    <m/>
    <m/>
    <m/>
    <m/>
    <m/>
    <m/>
    <m/>
    <m/>
    <m/>
  </r>
  <r>
    <x v="0"/>
    <s v="AWS_CP_061"/>
    <n v="102"/>
    <x v="5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56"/>
    <n v="104"/>
    <x v="5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2"/>
    <x v="7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1"/>
    <x v="8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61"/>
    <n v="107"/>
    <x v="9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5"/>
    <n v="107"/>
    <x v="9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56"/>
    <n v="109"/>
    <x v="10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61"/>
    <n v="108"/>
    <x v="11"/>
    <s v="EC-BOS-8 (25 DEVICE CORE) 3 YEAR SMA"/>
    <s v="DISTECH"/>
    <n v="1"/>
    <n v="1"/>
    <n v="1"/>
    <n v="1"/>
    <n v="1"/>
    <m/>
    <n v="1"/>
    <m/>
    <m/>
    <m/>
    <m/>
    <m/>
    <m/>
    <m/>
    <m/>
    <m/>
  </r>
  <r>
    <x v="0"/>
    <s v="AWS_CP_065"/>
    <n v="108"/>
    <x v="11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56"/>
    <n v="110"/>
    <x v="12"/>
    <s v="EC-BOS-8 (100 DEVICE CORE) 3 YEAR SMA"/>
    <s v="DISTECH"/>
    <n v="1"/>
    <n v="1"/>
    <n v="1"/>
    <n v="1"/>
    <n v="1"/>
    <m/>
    <n v="1"/>
    <m/>
    <m/>
    <m/>
    <m/>
    <m/>
    <m/>
    <m/>
    <m/>
    <m/>
  </r>
  <r>
    <x v="1"/>
    <s v="AWS_CP_065"/>
    <n v="105"/>
    <x v="2"/>
    <s v="ECLYPSE EXPANSION MODULE, 8 INPUTS"/>
    <s v="DISTECH"/>
    <n v="2"/>
    <n v="1"/>
    <n v="2"/>
    <n v="0"/>
    <n v="0"/>
    <m/>
    <m/>
    <m/>
    <m/>
    <m/>
    <m/>
    <m/>
    <m/>
    <m/>
    <m/>
    <m/>
  </r>
  <r>
    <x v="1"/>
    <s v="AWS_CP_005"/>
    <n v="103"/>
    <x v="3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4"/>
    <x v="3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05"/>
    <n v="101"/>
    <x v="4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65"/>
    <n v="102"/>
    <x v="4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5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05"/>
    <n v="102"/>
    <x v="5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65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6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65"/>
    <n v="101"/>
    <x v="7"/>
    <s v="DIFFERENTIAL PRESSURE LP"/>
    <s v="DISTECH"/>
    <n v="2"/>
    <n v="1"/>
    <n v="2"/>
    <n v="1"/>
    <n v="0.5"/>
    <m/>
    <n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m="1" x="13"/>
        <item m="1" x="14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17">
      <pivotArea field="3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field="3" type="button" dataOnly="0" labelOnly="1" outline="0" axis="axisRow" fieldPosition="0"/>
    </format>
    <format dxfId="14">
      <pivotArea field="3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outline="0" collapsedLevelsAreSubtotals="1" fieldPosition="0"/>
    </format>
    <format dxfId="11">
      <pivotArea dataOnly="0" labelOnly="1" outline="0" fieldPosition="0">
        <references count="1">
          <reference field="0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333CB30-C537-4D44-BC94-6C68F2AAA034}" autoFormatId="16" applyNumberFormats="0" applyBorderFormats="0" applyFontFormats="0" applyPatternFormats="0" applyAlignmentFormats="0" applyWidthHeightFormats="0">
  <queryTableRefresh nextId="9">
    <queryTableFields count="8">
      <queryTableField id="1" name="PO #" tableColumnId="1"/>
      <queryTableField id="2" name="Part #" tableColumnId="2"/>
      <queryTableField id="3" name="Part Description" tableColumnId="3"/>
      <queryTableField id="4" name="Manufacturer" tableColumnId="4"/>
      <queryTableField id="5" name="Vendor Notes" tableColumnId="5"/>
      <queryTableField id="6" name="Total Qty" tableColumnId="6"/>
      <queryTableField id="7" name="Received Qty" tableColumnId="7"/>
      <queryTableField id="8" name="Percent Received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7CC736-3EA6-4DC2-B3C5-3122ECC51096}" name="PowerSummary" displayName="PowerSummary" ref="A5:H24" tableType="queryTable" totalsRowShown="0" headerRowDxfId="8" dataDxfId="9">
  <autoFilter ref="A5:H24" xr:uid="{6BDAFB37-CDE8-462B-B8C2-619E5DC9FCAE}"/>
  <tableColumns count="8">
    <tableColumn id="1" xr3:uid="{FFA244BC-F081-4084-9AE6-5B48D4ABDF2C}" uniqueName="1" name="PO #" queryTableFieldId="1" dataDxfId="7"/>
    <tableColumn id="2" xr3:uid="{F4A6969F-ADE7-479C-BA2E-4ADCDD83BA1B}" uniqueName="2" name="Part #" queryTableFieldId="2" dataDxfId="6"/>
    <tableColumn id="3" xr3:uid="{FAE8F4CF-9DA1-4B8D-827A-AE3424BE2159}" uniqueName="3" name="Part Description" queryTableFieldId="3" dataDxfId="5"/>
    <tableColumn id="4" xr3:uid="{AB7DAED1-352F-4918-8E58-E0A7942CD9A6}" uniqueName="4" name="Manufacturer" queryTableFieldId="4" dataDxfId="4"/>
    <tableColumn id="5" xr3:uid="{D1EDCBBA-E80B-4779-8486-6BB4374A14D5}" uniqueName="5" name="Vendor Notes" queryTableFieldId="5" dataDxfId="3"/>
    <tableColumn id="6" xr3:uid="{4A60F1BC-B379-4EE6-B4FC-EBBEAB9C0AF8}" uniqueName="6" name="Total Qty" queryTableFieldId="6" dataDxfId="2"/>
    <tableColumn id="7" xr3:uid="{E59F6687-6D82-46C7-8C7B-84C847A367D0}" uniqueName="7" name="Received Qty" queryTableFieldId="7" dataDxfId="1"/>
    <tableColumn id="8" xr3:uid="{08531DC8-E942-4FB8-8441-A55A64D7D713}" uniqueName="8" name="Percent Received" queryTableFieldId="8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DD61F6-9C56-4688-87C0-84F2F602D409}" name="InventorySummary" displayName="InventorySummary" ref="A5:V39">
  <autoFilter ref="A5:V39" xr:uid="{989E0B49-1948-4BC4-A841-EC3867D81F29}"/>
  <sortState xmlns:xlrd2="http://schemas.microsoft.com/office/spreadsheetml/2017/richdata2" ref="A6:V39">
    <sortCondition ref="A5:A39"/>
  </sortState>
  <tableColumns count="22">
    <tableColumn id="22" xr3:uid="{D8814484-D8E5-42B8-921C-1AF46B394CE9}" name="PO #" dataDxfId="44"/>
    <tableColumn id="1" xr3:uid="{5DE74111-B2A4-487D-87BE-DA152C53DEE3}" name="Panel ID" totalsRowLabel="Total"/>
    <tableColumn id="2" xr3:uid="{AAD5A4AD-A9C1-4BF2-A4F2-11295B057FF7}" name="BOM Item #"/>
    <tableColumn id="3" xr3:uid="{ACDECF24-FC64-405D-AE36-AECDA348F999}" name="Part #"/>
    <tableColumn id="4" xr3:uid="{4FD96EDE-C425-49FF-98BF-B3AF4132C541}" name="Part Description"/>
    <tableColumn id="5" xr3:uid="{096C08F6-D9FE-4FE2-BF0B-0BDF0DED835A}" name="Manufacturer"/>
    <tableColumn id="6" xr3:uid="{B38D58B9-CBE1-4808-BA05-1344B73EB44B}" name="Qty Per"/>
    <tableColumn id="7" xr3:uid="{027C23D8-691A-4D1B-8EE1-EFDA5777C5E3}" name="Panel Qty"/>
    <tableColumn id="8" xr3:uid="{7AF23B47-8F05-4408-AEC8-E7C43889FF36}" name="Total Qty" dataDxfId="43"/>
    <tableColumn id="9" xr3:uid="{DDCC9B9A-2425-45BA-8D4A-4CFCF740B1D3}" name="Total Qty Received              Do Not Modify" dataDxfId="42"/>
    <tableColumn id="21" xr3:uid="{AA224B52-6381-4017-86D9-0CDF45802C52}" name="Percent Received" dataDxfId="41" dataCellStyle="Percent"/>
    <tableColumn id="10" xr3:uid="{0D732D2F-33D7-441F-8C54-49CB2F3F0F42}" name="Vendor Notes"/>
    <tableColumn id="11" xr3:uid="{A2F3EC44-B54A-470F-B3A9-A59A97F584ED}" name="Qty Received 1" dataDxfId="40"/>
    <tableColumn id="12" xr3:uid="{0AE75E33-EDB4-419B-9A17-E29999FDD4C0}" name="Date Received 1" dataDxfId="39"/>
    <tableColumn id="13" xr3:uid="{467F21C4-8000-475B-8A09-305A76EB8E31}" name="Qty Received 2" dataDxfId="38"/>
    <tableColumn id="14" xr3:uid="{913E6BB8-7E12-498A-B32D-1B1E51D5E17F}" name="Date Received 2" dataDxfId="37"/>
    <tableColumn id="15" xr3:uid="{6B733446-B480-430B-84B6-2ED7AF003FA4}" name="Qty Received 3" dataDxfId="36"/>
    <tableColumn id="16" xr3:uid="{5A153A24-22F9-43A9-A294-0C2D8FA6D58E}" name="Date Received 3" dataDxfId="35"/>
    <tableColumn id="17" xr3:uid="{DB8BF230-FDE8-404F-9BC5-6B211D33AC98}" name="Qty Received 4" dataDxfId="34"/>
    <tableColumn id="18" xr3:uid="{1FE2B93A-0901-4B84-B0C0-17E822EBBEE4}" name="Date Received 4" dataDxfId="33"/>
    <tableColumn id="19" xr3:uid="{9DEF42B2-C306-4550-81D8-1A3536DD7E8A}" name="Qty Received 5" dataDxfId="32"/>
    <tableColumn id="20" xr3:uid="{267A23F0-DE60-4425-8558-F02741648159}" name="Date Received 5" totalsRowFunction="count" dataDxfId="3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989E0B49-1948-4BC4-A841-EC3867D81F29}"/>
  <sortState xmlns:xlrd2="http://schemas.microsoft.com/office/spreadsheetml/2017/richdata2" ref="A6:V39">
    <sortCondition ref="A6"/>
    <sortCondition ref="D6"/>
    <sortCondition ref="A6"/>
    <sortCondition ref="A6"/>
    <sortCondition ref="D6"/>
    <sortCondition ref="A6"/>
    <sortCondition ref="D6"/>
  </sortState>
  <tableColumns count="22">
    <tableColumn id="22" xr3:uid="{62D9C963-D166-477B-B4CF-A5CD1ED61A61}" name="PO #" dataDxfId="30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29">
      <calculatedColumnFormula>SUM(M6,O6,Q6,S6,U6)</calculatedColumnFormula>
    </tableColumn>
    <tableColumn id="21" xr3:uid="{A15CB5CA-AA7C-4EE4-869F-E34BBDA27D0A}" name="Percent Received" dataDxfId="28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27"/>
    <tableColumn id="12" xr3:uid="{6A3B35EA-0BBA-45D1-9797-080233198EEB}" name="Date Received 1" dataDxfId="26"/>
    <tableColumn id="13" xr3:uid="{C45F10F8-7895-4A67-A693-EC1F293131BA}" name="Qty Received 2" dataDxfId="25"/>
    <tableColumn id="14" xr3:uid="{B58126CB-5280-477C-AC90-3B002C8D7D76}" name="Date Received 2" dataDxfId="24"/>
    <tableColumn id="15" xr3:uid="{84EA1E4D-8182-4DDF-A7AE-28C284435ACC}" name="Qty Received 3" dataDxfId="23"/>
    <tableColumn id="16" xr3:uid="{B423D7C7-372A-464C-A752-3630A736DA64}" name="Date Received 3" dataDxfId="22"/>
    <tableColumn id="17" xr3:uid="{A9A2A3AB-EFFC-46C1-96AF-F6C4A3A65CE3}" name="Qty Received 4" dataDxfId="21"/>
    <tableColumn id="18" xr3:uid="{00914DA0-38A3-4D47-A728-5C23CEF91ED1}" name="Date Received 4" dataDxfId="20"/>
    <tableColumn id="19" xr3:uid="{103B8486-A04E-4231-AF86-42F81C3CD380}" name="Qty Received 5" dataDxfId="19"/>
    <tableColumn id="20" xr3:uid="{FF20A134-7349-4725-9994-55FC8D7A99C1}" name="Date Received 5" totalsRowFunction="count" dataDxfId="1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EC0CC-CA7C-4E21-B65C-18C31869C6C4}">
  <sheetPr codeName="Sheet4"/>
  <dimension ref="A1:W24"/>
  <sheetViews>
    <sheetView tabSelected="1" zoomScale="70" zoomScaleNormal="70" workbookViewId="0">
      <pane ySplit="4" topLeftCell="A5" activePane="bottomLeft" state="frozen"/>
      <selection pane="bottomLeft" activeCell="B29" sqref="B29"/>
    </sheetView>
  </sheetViews>
  <sheetFormatPr defaultRowHeight="15" x14ac:dyDescent="0.25"/>
  <cols>
    <col min="1" max="1" width="13.5703125" style="23" bestFit="1" customWidth="1"/>
    <col min="2" max="2" width="30.7109375" style="2" bestFit="1" customWidth="1"/>
    <col min="3" max="3" width="60.5703125" style="45" bestFit="1" customWidth="1"/>
    <col min="4" max="4" width="25.42578125" bestFit="1" customWidth="1"/>
    <col min="5" max="5" width="25.7109375" bestFit="1" customWidth="1"/>
    <col min="6" max="6" width="19.28515625" bestFit="1" customWidth="1"/>
    <col min="7" max="7" width="24.85546875" bestFit="1" customWidth="1"/>
    <col min="8" max="8" width="30.28515625" style="47" bestFit="1" customWidth="1"/>
    <col min="9" max="9" width="18.5703125" style="28" bestFit="1" customWidth="1"/>
    <col min="10" max="10" width="25.85546875" style="37" bestFit="1" customWidth="1"/>
    <col min="11" max="11" width="15.5703125" customWidth="1"/>
    <col min="12" max="12" width="24.28515625" style="35" customWidth="1"/>
    <col min="13" max="13" width="22.140625" style="28" bestFit="1" customWidth="1"/>
    <col min="14" max="14" width="23.42578125" style="32" bestFit="1" customWidth="1"/>
    <col min="15" max="15" width="22.140625" style="28" bestFit="1" customWidth="1"/>
    <col min="16" max="16" width="23.42578125" style="32" bestFit="1" customWidth="1"/>
    <col min="17" max="17" width="22.140625" style="28" bestFit="1" customWidth="1"/>
    <col min="18" max="18" width="23.42578125" style="32" bestFit="1" customWidth="1"/>
    <col min="19" max="19" width="22.140625" style="28" bestFit="1" customWidth="1"/>
    <col min="20" max="20" width="23.42578125" style="32" bestFit="1" customWidth="1"/>
    <col min="21" max="21" width="22.140625" style="28" bestFit="1" customWidth="1"/>
    <col min="22" max="22" width="23.42578125" style="32" bestFit="1" customWidth="1"/>
    <col min="23" max="23" width="9.140625" style="35"/>
  </cols>
  <sheetData>
    <row r="1" spans="1:22" ht="31.5" x14ac:dyDescent="0.5">
      <c r="A1" s="26"/>
      <c r="B1" s="46"/>
      <c r="C1" s="50" t="s">
        <v>64</v>
      </c>
      <c r="D1" s="51"/>
      <c r="E1" s="51"/>
      <c r="F1" s="1" t="s">
        <v>1</v>
      </c>
      <c r="G1" s="3" t="s">
        <v>33</v>
      </c>
    </row>
    <row r="2" spans="1:22" ht="21" x14ac:dyDescent="0.35">
      <c r="D2" s="2"/>
      <c r="E2" s="2"/>
      <c r="F2" s="1" t="s">
        <v>0</v>
      </c>
      <c r="G2" s="4"/>
    </row>
    <row r="3" spans="1:22" ht="21" x14ac:dyDescent="0.35">
      <c r="D3" s="2"/>
      <c r="E3" s="2"/>
      <c r="F3" s="1" t="s">
        <v>3</v>
      </c>
      <c r="G3" s="4" t="s">
        <v>34</v>
      </c>
    </row>
    <row r="4" spans="1:22" ht="21" x14ac:dyDescent="0.35">
      <c r="F4" s="1" t="s">
        <v>4</v>
      </c>
      <c r="G4" s="5" t="s">
        <v>32</v>
      </c>
    </row>
    <row r="5" spans="1:22" s="57" customFormat="1" ht="21" x14ac:dyDescent="0.25">
      <c r="A5" s="57" t="s">
        <v>28</v>
      </c>
      <c r="B5" s="58" t="s">
        <v>7</v>
      </c>
      <c r="C5" s="58" t="s">
        <v>8</v>
      </c>
      <c r="D5" s="57" t="s">
        <v>9</v>
      </c>
      <c r="E5" s="57" t="s">
        <v>23</v>
      </c>
      <c r="F5" s="57" t="s">
        <v>12</v>
      </c>
      <c r="G5" s="57" t="s">
        <v>65</v>
      </c>
      <c r="H5" s="59" t="s">
        <v>27</v>
      </c>
      <c r="I5" s="60"/>
      <c r="J5" s="61"/>
      <c r="M5" s="60"/>
      <c r="N5" s="62"/>
      <c r="O5" s="60"/>
      <c r="P5" s="62"/>
      <c r="Q5" s="60"/>
      <c r="R5" s="62"/>
      <c r="S5" s="60"/>
      <c r="T5" s="62"/>
      <c r="U5" s="60"/>
      <c r="V5" s="62"/>
    </row>
    <row r="6" spans="1:22" s="43" customFormat="1" ht="18.75" x14ac:dyDescent="0.25">
      <c r="A6" s="53">
        <v>3737</v>
      </c>
      <c r="B6" s="54" t="s">
        <v>51</v>
      </c>
      <c r="C6" s="54" t="s">
        <v>52</v>
      </c>
      <c r="D6" s="55" t="s">
        <v>37</v>
      </c>
      <c r="E6" s="53"/>
      <c r="F6" s="53">
        <v>4</v>
      </c>
      <c r="G6" s="53">
        <v>1</v>
      </c>
      <c r="H6" s="56">
        <v>0.25</v>
      </c>
      <c r="I6" s="41"/>
      <c r="J6" s="42"/>
      <c r="M6" s="41"/>
      <c r="N6" s="44"/>
      <c r="O6" s="41"/>
      <c r="P6" s="44"/>
      <c r="Q6" s="41"/>
      <c r="R6" s="44"/>
      <c r="S6" s="41"/>
      <c r="T6" s="44"/>
      <c r="U6" s="41"/>
      <c r="V6" s="44"/>
    </row>
    <row r="7" spans="1:22" s="43" customFormat="1" ht="18.75" x14ac:dyDescent="0.25">
      <c r="A7" s="53">
        <v>3737</v>
      </c>
      <c r="B7" s="54" t="s">
        <v>49</v>
      </c>
      <c r="C7" s="54" t="s">
        <v>50</v>
      </c>
      <c r="D7" s="55" t="s">
        <v>37</v>
      </c>
      <c r="E7" s="53"/>
      <c r="F7" s="53">
        <v>3</v>
      </c>
      <c r="G7" s="53">
        <v>1</v>
      </c>
      <c r="H7" s="56">
        <v>0.33333333333333331</v>
      </c>
      <c r="I7" s="41"/>
      <c r="J7" s="42"/>
      <c r="M7" s="41"/>
      <c r="N7" s="44"/>
      <c r="O7" s="41"/>
      <c r="P7" s="44"/>
      <c r="Q7" s="41"/>
      <c r="R7" s="44"/>
      <c r="S7" s="41"/>
      <c r="T7" s="44"/>
      <c r="U7" s="41"/>
      <c r="V7" s="44"/>
    </row>
    <row r="8" spans="1:22" s="43" customFormat="1" ht="18.75" x14ac:dyDescent="0.25">
      <c r="A8" s="53">
        <v>3737</v>
      </c>
      <c r="B8" s="54" t="s">
        <v>47</v>
      </c>
      <c r="C8" s="54" t="s">
        <v>48</v>
      </c>
      <c r="D8" s="55" t="s">
        <v>37</v>
      </c>
      <c r="E8" s="53"/>
      <c r="F8" s="53">
        <v>3</v>
      </c>
      <c r="G8" s="53">
        <v>1</v>
      </c>
      <c r="H8" s="56">
        <v>0.33333333333333331</v>
      </c>
      <c r="I8" s="41"/>
      <c r="J8" s="42"/>
      <c r="M8" s="41"/>
      <c r="N8" s="44"/>
      <c r="O8" s="41"/>
      <c r="P8" s="44"/>
      <c r="Q8" s="41"/>
      <c r="R8" s="44"/>
      <c r="S8" s="41"/>
      <c r="T8" s="44"/>
      <c r="U8" s="41"/>
      <c r="V8" s="44"/>
    </row>
    <row r="9" spans="1:22" s="43" customFormat="1" ht="18.75" x14ac:dyDescent="0.25">
      <c r="A9" s="53">
        <v>3737</v>
      </c>
      <c r="B9" s="54" t="s">
        <v>45</v>
      </c>
      <c r="C9" s="54" t="s">
        <v>46</v>
      </c>
      <c r="D9" s="55" t="s">
        <v>37</v>
      </c>
      <c r="E9" s="53"/>
      <c r="F9" s="53">
        <v>21</v>
      </c>
      <c r="G9" s="53">
        <v>1</v>
      </c>
      <c r="H9" s="56">
        <v>4.7619047619047616E-2</v>
      </c>
      <c r="I9" s="41"/>
      <c r="J9" s="42"/>
      <c r="M9" s="41"/>
      <c r="N9" s="44"/>
      <c r="O9" s="41"/>
      <c r="P9" s="44"/>
      <c r="Q9" s="41"/>
      <c r="R9" s="44"/>
      <c r="S9" s="41"/>
      <c r="T9" s="44"/>
      <c r="U9" s="41"/>
      <c r="V9" s="44"/>
    </row>
    <row r="10" spans="1:22" s="43" customFormat="1" ht="18.75" x14ac:dyDescent="0.25">
      <c r="A10" s="53">
        <v>3737</v>
      </c>
      <c r="B10" s="54" t="s">
        <v>41</v>
      </c>
      <c r="C10" s="54" t="s">
        <v>42</v>
      </c>
      <c r="D10" s="55" t="s">
        <v>37</v>
      </c>
      <c r="E10" s="53"/>
      <c r="F10" s="53">
        <v>7</v>
      </c>
      <c r="G10" s="53">
        <v>1</v>
      </c>
      <c r="H10" s="56">
        <v>0.14285714285714285</v>
      </c>
      <c r="I10" s="41"/>
      <c r="J10" s="42"/>
      <c r="M10" s="41"/>
      <c r="N10" s="44"/>
      <c r="O10" s="41"/>
      <c r="P10" s="44"/>
      <c r="Q10" s="41"/>
      <c r="R10" s="44"/>
      <c r="S10" s="41"/>
      <c r="T10" s="44"/>
      <c r="U10" s="41"/>
      <c r="V10" s="44"/>
    </row>
    <row r="11" spans="1:22" s="43" customFormat="1" ht="18.75" x14ac:dyDescent="0.25">
      <c r="A11" s="53">
        <v>3737</v>
      </c>
      <c r="B11" s="54" t="s">
        <v>43</v>
      </c>
      <c r="C11" s="54" t="s">
        <v>44</v>
      </c>
      <c r="D11" s="55" t="s">
        <v>37</v>
      </c>
      <c r="E11" s="53"/>
      <c r="F11" s="53">
        <v>2</v>
      </c>
      <c r="G11" s="53">
        <v>1</v>
      </c>
      <c r="H11" s="56">
        <v>0.5</v>
      </c>
      <c r="I11" s="41"/>
      <c r="J11" s="42"/>
      <c r="M11" s="41"/>
      <c r="N11" s="44"/>
      <c r="O11" s="41"/>
      <c r="P11" s="44"/>
      <c r="Q11" s="41"/>
      <c r="R11" s="44"/>
      <c r="S11" s="41"/>
      <c r="T11" s="44"/>
      <c r="U11" s="41"/>
      <c r="V11" s="44"/>
    </row>
    <row r="12" spans="1:22" s="43" customFormat="1" ht="18.75" x14ac:dyDescent="0.25">
      <c r="A12" s="53">
        <v>3737</v>
      </c>
      <c r="B12" s="54" t="s">
        <v>24</v>
      </c>
      <c r="C12" s="54" t="s">
        <v>36</v>
      </c>
      <c r="D12" s="55" t="s">
        <v>37</v>
      </c>
      <c r="E12" s="53"/>
      <c r="F12" s="53">
        <v>2</v>
      </c>
      <c r="G12" s="53">
        <v>2</v>
      </c>
      <c r="H12" s="56">
        <v>1</v>
      </c>
      <c r="I12" s="41"/>
      <c r="J12" s="42"/>
      <c r="M12" s="41"/>
      <c r="N12" s="44"/>
      <c r="O12" s="41"/>
      <c r="P12" s="44"/>
      <c r="Q12" s="41"/>
      <c r="R12" s="44"/>
      <c r="S12" s="41"/>
      <c r="T12" s="44"/>
      <c r="U12" s="41"/>
      <c r="V12" s="44"/>
    </row>
    <row r="13" spans="1:22" s="43" customFormat="1" ht="18.75" x14ac:dyDescent="0.25">
      <c r="A13" s="53">
        <v>3737</v>
      </c>
      <c r="B13" s="54" t="s">
        <v>25</v>
      </c>
      <c r="C13" s="54" t="s">
        <v>40</v>
      </c>
      <c r="D13" s="55" t="s">
        <v>37</v>
      </c>
      <c r="E13" s="53"/>
      <c r="F13" s="53">
        <v>4</v>
      </c>
      <c r="G13" s="53">
        <v>3</v>
      </c>
      <c r="H13" s="56">
        <v>0.75</v>
      </c>
      <c r="I13" s="41"/>
      <c r="J13" s="42"/>
      <c r="M13" s="41"/>
      <c r="N13" s="44"/>
      <c r="O13" s="41"/>
      <c r="P13" s="44"/>
      <c r="Q13" s="41"/>
      <c r="R13" s="44"/>
      <c r="S13" s="41"/>
      <c r="T13" s="44"/>
      <c r="U13" s="41"/>
      <c r="V13" s="44"/>
    </row>
    <row r="14" spans="1:22" s="43" customFormat="1" ht="18.75" x14ac:dyDescent="0.25">
      <c r="A14" s="53">
        <v>3737</v>
      </c>
      <c r="B14" s="54" t="s">
        <v>38</v>
      </c>
      <c r="C14" s="54" t="s">
        <v>39</v>
      </c>
      <c r="D14" s="55" t="s">
        <v>37</v>
      </c>
      <c r="E14" s="53"/>
      <c r="F14" s="53">
        <v>3</v>
      </c>
      <c r="G14" s="53">
        <v>2</v>
      </c>
      <c r="H14" s="56">
        <v>0.66666666666666663</v>
      </c>
      <c r="I14" s="41"/>
      <c r="J14" s="42"/>
      <c r="M14" s="41"/>
      <c r="N14" s="44"/>
      <c r="O14" s="41"/>
      <c r="P14" s="44"/>
      <c r="Q14" s="41"/>
      <c r="R14" s="44"/>
      <c r="S14" s="41"/>
      <c r="T14" s="44"/>
      <c r="U14" s="41"/>
      <c r="V14" s="44"/>
    </row>
    <row r="15" spans="1:22" s="43" customFormat="1" ht="18.75" x14ac:dyDescent="0.25">
      <c r="A15" s="53">
        <v>3737</v>
      </c>
      <c r="B15" s="54" t="s">
        <v>59</v>
      </c>
      <c r="C15" s="54" t="s">
        <v>60</v>
      </c>
      <c r="D15" s="55" t="s">
        <v>37</v>
      </c>
      <c r="E15" s="53"/>
      <c r="F15" s="53">
        <v>2</v>
      </c>
      <c r="G15" s="53">
        <v>1</v>
      </c>
      <c r="H15" s="56">
        <v>0.5</v>
      </c>
      <c r="I15" s="41"/>
      <c r="J15" s="42"/>
      <c r="M15" s="41"/>
      <c r="N15" s="44"/>
      <c r="O15" s="41"/>
      <c r="P15" s="44"/>
      <c r="Q15" s="41"/>
      <c r="R15" s="44"/>
      <c r="S15" s="41"/>
      <c r="T15" s="44"/>
      <c r="U15" s="41"/>
      <c r="V15" s="44"/>
    </row>
    <row r="16" spans="1:22" s="43" customFormat="1" ht="18.75" x14ac:dyDescent="0.25">
      <c r="A16" s="53">
        <v>3737</v>
      </c>
      <c r="B16" s="54" t="s">
        <v>53</v>
      </c>
      <c r="C16" s="54" t="s">
        <v>54</v>
      </c>
      <c r="D16" s="55" t="s">
        <v>37</v>
      </c>
      <c r="E16" s="53"/>
      <c r="F16" s="53">
        <v>1</v>
      </c>
      <c r="G16" s="53">
        <v>0</v>
      </c>
      <c r="H16" s="56">
        <v>0</v>
      </c>
      <c r="I16" s="41"/>
      <c r="J16" s="42"/>
      <c r="M16" s="41"/>
      <c r="N16" s="44"/>
      <c r="O16" s="41"/>
      <c r="P16" s="44"/>
      <c r="Q16" s="41"/>
      <c r="R16" s="44"/>
      <c r="S16" s="41"/>
      <c r="T16" s="44"/>
      <c r="U16" s="41"/>
      <c r="V16" s="44"/>
    </row>
    <row r="17" spans="1:22" s="43" customFormat="1" ht="18.75" x14ac:dyDescent="0.25">
      <c r="A17" s="53">
        <v>3737</v>
      </c>
      <c r="B17" s="54" t="s">
        <v>61</v>
      </c>
      <c r="C17" s="54" t="s">
        <v>62</v>
      </c>
      <c r="D17" s="55" t="s">
        <v>37</v>
      </c>
      <c r="E17" s="53"/>
      <c r="F17" s="53">
        <v>2</v>
      </c>
      <c r="G17" s="53">
        <v>1</v>
      </c>
      <c r="H17" s="56">
        <v>0.5</v>
      </c>
      <c r="I17" s="41"/>
      <c r="J17" s="42"/>
      <c r="M17" s="41"/>
      <c r="N17" s="44"/>
      <c r="O17" s="41"/>
      <c r="P17" s="44"/>
      <c r="Q17" s="41"/>
      <c r="R17" s="44"/>
      <c r="S17" s="41"/>
      <c r="T17" s="44"/>
      <c r="U17" s="41"/>
      <c r="V17" s="44"/>
    </row>
    <row r="18" spans="1:22" s="43" customFormat="1" ht="18.75" x14ac:dyDescent="0.25">
      <c r="A18" s="53">
        <v>3737</v>
      </c>
      <c r="B18" s="54" t="s">
        <v>55</v>
      </c>
      <c r="C18" s="54" t="s">
        <v>56</v>
      </c>
      <c r="D18" s="55" t="s">
        <v>37</v>
      </c>
      <c r="E18" s="53"/>
      <c r="F18" s="53">
        <v>1</v>
      </c>
      <c r="G18" s="53">
        <v>1</v>
      </c>
      <c r="H18" s="56">
        <v>1</v>
      </c>
      <c r="I18" s="41"/>
      <c r="J18" s="42"/>
      <c r="M18" s="41"/>
      <c r="N18" s="44"/>
      <c r="O18" s="41"/>
      <c r="P18" s="44"/>
      <c r="Q18" s="41"/>
      <c r="R18" s="44"/>
      <c r="S18" s="41"/>
      <c r="T18" s="44"/>
      <c r="U18" s="41"/>
      <c r="V18" s="44"/>
    </row>
    <row r="19" spans="1:22" s="43" customFormat="1" ht="18.75" x14ac:dyDescent="0.25">
      <c r="A19" s="53">
        <v>3738</v>
      </c>
      <c r="B19" s="54" t="s">
        <v>47</v>
      </c>
      <c r="C19" s="54" t="s">
        <v>48</v>
      </c>
      <c r="D19" s="55" t="s">
        <v>37</v>
      </c>
      <c r="E19" s="53"/>
      <c r="F19" s="53">
        <v>2</v>
      </c>
      <c r="G19" s="53">
        <v>0</v>
      </c>
      <c r="H19" s="56">
        <v>0</v>
      </c>
      <c r="I19" s="41"/>
      <c r="J19" s="42"/>
      <c r="M19" s="41"/>
      <c r="N19" s="44"/>
      <c r="O19" s="41"/>
      <c r="P19" s="44"/>
      <c r="Q19" s="41"/>
      <c r="R19" s="44"/>
      <c r="S19" s="41"/>
      <c r="T19" s="44"/>
      <c r="U19" s="41"/>
      <c r="V19" s="44"/>
    </row>
    <row r="20" spans="1:22" s="43" customFormat="1" ht="18.75" x14ac:dyDescent="0.25">
      <c r="A20" s="53">
        <v>3738</v>
      </c>
      <c r="B20" s="54" t="s">
        <v>45</v>
      </c>
      <c r="C20" s="54" t="s">
        <v>46</v>
      </c>
      <c r="D20" s="55" t="s">
        <v>37</v>
      </c>
      <c r="E20" s="53"/>
      <c r="F20" s="53">
        <v>20</v>
      </c>
      <c r="G20" s="53">
        <v>1</v>
      </c>
      <c r="H20" s="56">
        <v>0.05</v>
      </c>
      <c r="I20" s="41"/>
      <c r="J20" s="42"/>
      <c r="M20" s="41"/>
      <c r="N20" s="44"/>
      <c r="O20" s="41"/>
      <c r="P20" s="44"/>
      <c r="Q20" s="41"/>
      <c r="R20" s="44"/>
      <c r="S20" s="41"/>
      <c r="T20" s="44"/>
      <c r="U20" s="41"/>
      <c r="V20" s="44"/>
    </row>
    <row r="21" spans="1:22" s="43" customFormat="1" ht="18.75" x14ac:dyDescent="0.25">
      <c r="A21" s="53">
        <v>3738</v>
      </c>
      <c r="B21" s="54" t="s">
        <v>41</v>
      </c>
      <c r="C21" s="54" t="s">
        <v>42</v>
      </c>
      <c r="D21" s="55" t="s">
        <v>37</v>
      </c>
      <c r="E21" s="53"/>
      <c r="F21" s="53">
        <v>4</v>
      </c>
      <c r="G21" s="53">
        <v>2</v>
      </c>
      <c r="H21" s="56">
        <v>0.5</v>
      </c>
      <c r="I21" s="41"/>
      <c r="J21" s="42"/>
      <c r="M21" s="41"/>
      <c r="N21" s="44"/>
      <c r="O21" s="41"/>
      <c r="P21" s="44"/>
      <c r="Q21" s="41"/>
      <c r="R21" s="44"/>
      <c r="S21" s="41"/>
      <c r="T21" s="44"/>
      <c r="U21" s="41"/>
      <c r="V21" s="44"/>
    </row>
    <row r="22" spans="1:22" s="43" customFormat="1" ht="18.75" x14ac:dyDescent="0.25">
      <c r="A22" s="53">
        <v>3738</v>
      </c>
      <c r="B22" s="54" t="s">
        <v>43</v>
      </c>
      <c r="C22" s="54" t="s">
        <v>44</v>
      </c>
      <c r="D22" s="55" t="s">
        <v>37</v>
      </c>
      <c r="E22" s="53"/>
      <c r="F22" s="53">
        <v>3</v>
      </c>
      <c r="G22" s="53">
        <v>2</v>
      </c>
      <c r="H22" s="56">
        <v>0.66666666666666663</v>
      </c>
      <c r="I22" s="41"/>
      <c r="J22" s="42"/>
      <c r="M22" s="41"/>
      <c r="N22" s="44"/>
      <c r="O22" s="41"/>
      <c r="P22" s="44"/>
      <c r="Q22" s="41"/>
      <c r="R22" s="44"/>
      <c r="S22" s="41"/>
      <c r="T22" s="44"/>
      <c r="U22" s="41"/>
      <c r="V22" s="44"/>
    </row>
    <row r="23" spans="1:22" s="43" customFormat="1" ht="18.75" x14ac:dyDescent="0.25">
      <c r="A23" s="53">
        <v>3738</v>
      </c>
      <c r="B23" s="54" t="s">
        <v>24</v>
      </c>
      <c r="C23" s="54" t="s">
        <v>36</v>
      </c>
      <c r="D23" s="55" t="s">
        <v>37</v>
      </c>
      <c r="E23" s="53"/>
      <c r="F23" s="53">
        <v>3</v>
      </c>
      <c r="G23" s="53">
        <v>2</v>
      </c>
      <c r="H23" s="56">
        <v>0.66666666666666663</v>
      </c>
      <c r="I23" s="41"/>
      <c r="J23" s="42"/>
      <c r="M23" s="41"/>
      <c r="N23" s="44"/>
      <c r="O23" s="41"/>
      <c r="P23" s="44"/>
      <c r="Q23" s="41"/>
      <c r="R23" s="44"/>
      <c r="S23" s="41"/>
      <c r="T23" s="44"/>
      <c r="U23" s="41"/>
      <c r="V23" s="44"/>
    </row>
    <row r="24" spans="1:22" s="43" customFormat="1" ht="18.75" x14ac:dyDescent="0.25">
      <c r="A24" s="53">
        <v>3738</v>
      </c>
      <c r="B24" s="54" t="s">
        <v>25</v>
      </c>
      <c r="C24" s="54" t="s">
        <v>40</v>
      </c>
      <c r="D24" s="55" t="s">
        <v>37</v>
      </c>
      <c r="E24" s="53"/>
      <c r="F24" s="53">
        <v>2</v>
      </c>
      <c r="G24" s="53">
        <v>1</v>
      </c>
      <c r="H24" s="56">
        <v>0.5</v>
      </c>
      <c r="I24" s="41"/>
      <c r="J24" s="42"/>
      <c r="M24" s="41"/>
      <c r="N24" s="44"/>
      <c r="O24" s="41"/>
      <c r="P24" s="44"/>
      <c r="Q24" s="41"/>
      <c r="R24" s="44"/>
      <c r="S24" s="41"/>
      <c r="T24" s="44"/>
      <c r="U24" s="41"/>
      <c r="V24" s="44"/>
    </row>
  </sheetData>
  <mergeCells count="1">
    <mergeCell ref="C1:E1"/>
  </mergeCells>
  <conditionalFormatting sqref="J1:J1048576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freshButton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1933575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83E21-3524-498C-80BE-37C08C2E8F2B}">
  <sheetPr codeName="Sheet3"/>
  <dimension ref="A1:X39"/>
  <sheetViews>
    <sheetView zoomScale="70" zoomScaleNormal="70" workbookViewId="0">
      <pane ySplit="5" topLeftCell="A6" activePane="bottomLeft" state="frozen"/>
      <selection pane="bottomLeft" activeCell="C34" sqref="C34"/>
    </sheetView>
  </sheetViews>
  <sheetFormatPr defaultRowHeight="15" x14ac:dyDescent="0.25"/>
  <cols>
    <col min="1" max="1" width="23.28515625" style="23" customWidth="1"/>
    <col min="2" max="3" width="23.28515625" customWidth="1"/>
    <col min="4" max="4" width="28.85546875" bestFit="1" customWidth="1"/>
    <col min="5" max="5" width="54.85546875" bestFit="1" customWidth="1"/>
    <col min="6" max="8" width="23.28515625" customWidth="1"/>
    <col min="9" max="9" width="23.28515625" style="28" customWidth="1"/>
    <col min="10" max="10" width="23.28515625" style="37" customWidth="1"/>
    <col min="11" max="11" width="23.28515625" customWidth="1"/>
    <col min="12" max="12" width="23.28515625" style="34" customWidth="1"/>
    <col min="13" max="13" width="23.28515625" style="28" customWidth="1"/>
    <col min="14" max="14" width="23.28515625" style="32" customWidth="1"/>
    <col min="15" max="15" width="23.28515625" style="28" customWidth="1"/>
    <col min="16" max="16" width="23.28515625" style="32" customWidth="1"/>
    <col min="17" max="17" width="23.28515625" style="28" customWidth="1"/>
    <col min="18" max="18" width="23.28515625" style="32" customWidth="1"/>
    <col min="19" max="19" width="23.28515625" style="28" customWidth="1"/>
    <col min="20" max="20" width="23.28515625" style="32" customWidth="1"/>
    <col min="21" max="21" width="23.28515625" style="28" customWidth="1"/>
    <col min="22" max="22" width="23.28515625" style="32" customWidth="1"/>
    <col min="23" max="23" width="9.140625" style="34"/>
  </cols>
  <sheetData>
    <row r="1" spans="1:24" ht="31.5" x14ac:dyDescent="0.5">
      <c r="A1" s="26"/>
      <c r="B1" s="33"/>
      <c r="C1" s="50" t="s">
        <v>64</v>
      </c>
      <c r="D1" s="51"/>
      <c r="E1" s="51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36" t="s">
        <v>12</v>
      </c>
      <c r="J5" s="38" t="s">
        <v>26</v>
      </c>
      <c r="K5" s="20" t="s">
        <v>27</v>
      </c>
      <c r="L5" s="14" t="s">
        <v>23</v>
      </c>
      <c r="M5" s="39" t="s">
        <v>13</v>
      </c>
      <c r="N5" s="12" t="s">
        <v>14</v>
      </c>
      <c r="O5" s="40" t="s">
        <v>15</v>
      </c>
      <c r="P5" s="16" t="s">
        <v>16</v>
      </c>
      <c r="Q5" s="39" t="s">
        <v>17</v>
      </c>
      <c r="R5" s="12" t="s">
        <v>18</v>
      </c>
      <c r="S5" s="40" t="s">
        <v>19</v>
      </c>
      <c r="T5" s="16" t="s">
        <v>20</v>
      </c>
      <c r="U5" s="39" t="s">
        <v>21</v>
      </c>
      <c r="V5" s="13" t="s">
        <v>22</v>
      </c>
      <c r="X5" s="34"/>
    </row>
    <row r="6" spans="1:24" ht="15.75" thickTop="1" x14ac:dyDescent="0.25">
      <c r="A6" s="28">
        <v>3737</v>
      </c>
      <c r="B6" s="34"/>
      <c r="C6" s="34"/>
      <c r="D6" s="2" t="s">
        <v>51</v>
      </c>
      <c r="E6" s="2" t="s">
        <v>52</v>
      </c>
      <c r="F6" s="34" t="s">
        <v>37</v>
      </c>
      <c r="G6" s="34"/>
      <c r="H6" s="34"/>
      <c r="I6" s="28">
        <v>4</v>
      </c>
      <c r="J6" s="28">
        <v>1</v>
      </c>
      <c r="K6" s="19">
        <v>0.25</v>
      </c>
      <c r="L6"/>
      <c r="M6" s="28">
        <v>1</v>
      </c>
      <c r="O6" s="28">
        <v>0</v>
      </c>
      <c r="Q6" s="28">
        <v>0</v>
      </c>
      <c r="S6" s="28">
        <v>0</v>
      </c>
      <c r="U6" s="28">
        <v>0</v>
      </c>
      <c r="X6" s="34"/>
    </row>
    <row r="7" spans="1:24" x14ac:dyDescent="0.25">
      <c r="A7" s="28">
        <v>3737</v>
      </c>
      <c r="B7" s="34"/>
      <c r="C7" s="34"/>
      <c r="D7" s="2" t="s">
        <v>49</v>
      </c>
      <c r="E7" s="2" t="s">
        <v>50</v>
      </c>
      <c r="F7" s="34" t="s">
        <v>37</v>
      </c>
      <c r="G7" s="34"/>
      <c r="H7" s="34"/>
      <c r="I7" s="28">
        <v>3</v>
      </c>
      <c r="J7" s="28">
        <v>1</v>
      </c>
      <c r="K7" s="19">
        <v>0.33333333333333331</v>
      </c>
      <c r="L7"/>
      <c r="M7" s="28">
        <v>1</v>
      </c>
      <c r="O7" s="28">
        <v>0</v>
      </c>
      <c r="Q7" s="28">
        <v>0</v>
      </c>
      <c r="S7" s="28">
        <v>0</v>
      </c>
      <c r="U7" s="28">
        <v>0</v>
      </c>
      <c r="X7" s="34"/>
    </row>
    <row r="8" spans="1:24" x14ac:dyDescent="0.25">
      <c r="A8" s="28">
        <v>3737</v>
      </c>
      <c r="B8" s="34"/>
      <c r="C8" s="34"/>
      <c r="D8" s="2" t="s">
        <v>47</v>
      </c>
      <c r="E8" s="2" t="s">
        <v>48</v>
      </c>
      <c r="F8" s="34" t="s">
        <v>37</v>
      </c>
      <c r="G8" s="34"/>
      <c r="H8" s="34"/>
      <c r="I8" s="28">
        <v>3</v>
      </c>
      <c r="J8" s="28">
        <v>1</v>
      </c>
      <c r="K8" s="19">
        <v>0.33333333333333331</v>
      </c>
      <c r="L8"/>
      <c r="M8" s="28">
        <v>1</v>
      </c>
      <c r="O8" s="28">
        <v>0</v>
      </c>
      <c r="Q8" s="28">
        <v>0</v>
      </c>
      <c r="S8" s="28">
        <v>0</v>
      </c>
      <c r="U8" s="28">
        <v>0</v>
      </c>
      <c r="X8" s="34"/>
    </row>
    <row r="9" spans="1:24" x14ac:dyDescent="0.25">
      <c r="A9" s="28">
        <v>3737</v>
      </c>
      <c r="B9" s="34"/>
      <c r="C9" s="34"/>
      <c r="D9" s="2" t="s">
        <v>45</v>
      </c>
      <c r="E9" s="2" t="s">
        <v>46</v>
      </c>
      <c r="F9" s="34" t="s">
        <v>37</v>
      </c>
      <c r="G9" s="34"/>
      <c r="H9" s="34"/>
      <c r="I9" s="28">
        <v>21</v>
      </c>
      <c r="J9" s="28">
        <v>1</v>
      </c>
      <c r="K9" s="19">
        <v>4.7619047619047616E-2</v>
      </c>
      <c r="L9"/>
      <c r="M9" s="28">
        <v>1</v>
      </c>
      <c r="O9" s="28">
        <v>0</v>
      </c>
      <c r="Q9" s="28">
        <v>0</v>
      </c>
      <c r="S9" s="28">
        <v>0</v>
      </c>
      <c r="U9" s="28">
        <v>0</v>
      </c>
      <c r="X9" s="34"/>
    </row>
    <row r="10" spans="1:24" x14ac:dyDescent="0.25">
      <c r="A10" s="28">
        <v>3737</v>
      </c>
      <c r="B10" s="34"/>
      <c r="C10" s="34"/>
      <c r="D10" s="2" t="s">
        <v>41</v>
      </c>
      <c r="E10" s="2" t="s">
        <v>42</v>
      </c>
      <c r="F10" s="34" t="s">
        <v>37</v>
      </c>
      <c r="G10" s="34"/>
      <c r="H10" s="34"/>
      <c r="I10" s="28">
        <v>7</v>
      </c>
      <c r="J10" s="28">
        <v>1</v>
      </c>
      <c r="K10" s="19">
        <v>0.14285714285714285</v>
      </c>
      <c r="L10"/>
      <c r="M10" s="28">
        <v>1</v>
      </c>
      <c r="O10" s="28">
        <v>0</v>
      </c>
      <c r="Q10" s="28">
        <v>0</v>
      </c>
      <c r="S10" s="28">
        <v>0</v>
      </c>
      <c r="U10" s="28">
        <v>0</v>
      </c>
      <c r="X10" s="34"/>
    </row>
    <row r="11" spans="1:24" x14ac:dyDescent="0.25">
      <c r="A11" s="28">
        <v>3737</v>
      </c>
      <c r="B11" s="34"/>
      <c r="C11" s="34"/>
      <c r="D11" s="2" t="s">
        <v>43</v>
      </c>
      <c r="E11" s="2" t="s">
        <v>44</v>
      </c>
      <c r="F11" s="34" t="s">
        <v>37</v>
      </c>
      <c r="G11" s="34"/>
      <c r="H11" s="34"/>
      <c r="I11" s="28">
        <v>2</v>
      </c>
      <c r="J11" s="28">
        <v>1</v>
      </c>
      <c r="K11" s="19">
        <v>0.5</v>
      </c>
      <c r="L11"/>
      <c r="M11" s="28">
        <v>1</v>
      </c>
      <c r="O11" s="28">
        <v>0</v>
      </c>
      <c r="Q11" s="28">
        <v>0</v>
      </c>
      <c r="S11" s="28">
        <v>0</v>
      </c>
      <c r="U11" s="28">
        <v>0</v>
      </c>
      <c r="X11" s="34"/>
    </row>
    <row r="12" spans="1:24" x14ac:dyDescent="0.25">
      <c r="A12" s="28">
        <v>3737</v>
      </c>
      <c r="B12" s="34"/>
      <c r="C12" s="34"/>
      <c r="D12" s="2" t="s">
        <v>24</v>
      </c>
      <c r="E12" s="2" t="s">
        <v>36</v>
      </c>
      <c r="F12" s="34" t="s">
        <v>37</v>
      </c>
      <c r="G12" s="34"/>
      <c r="H12" s="34"/>
      <c r="I12" s="28">
        <v>2</v>
      </c>
      <c r="J12" s="28">
        <v>2</v>
      </c>
      <c r="K12" s="19">
        <v>1</v>
      </c>
      <c r="L12"/>
      <c r="M12" s="28">
        <v>2</v>
      </c>
      <c r="O12" s="28">
        <v>0</v>
      </c>
      <c r="Q12" s="28">
        <v>0</v>
      </c>
      <c r="S12" s="28">
        <v>0</v>
      </c>
      <c r="U12" s="28">
        <v>0</v>
      </c>
      <c r="X12" s="34"/>
    </row>
    <row r="13" spans="1:24" x14ac:dyDescent="0.25">
      <c r="A13" s="28">
        <v>3737</v>
      </c>
      <c r="B13" s="34"/>
      <c r="C13" s="34"/>
      <c r="D13" s="2" t="s">
        <v>25</v>
      </c>
      <c r="E13" s="2" t="s">
        <v>40</v>
      </c>
      <c r="F13" s="34" t="s">
        <v>37</v>
      </c>
      <c r="G13" s="34"/>
      <c r="H13" s="34"/>
      <c r="I13" s="28">
        <v>4</v>
      </c>
      <c r="J13" s="28">
        <v>3</v>
      </c>
      <c r="K13" s="19">
        <v>0.75</v>
      </c>
      <c r="L13"/>
      <c r="M13" s="28">
        <v>3</v>
      </c>
      <c r="X13" s="34"/>
    </row>
    <row r="14" spans="1:24" x14ac:dyDescent="0.25">
      <c r="A14" s="28">
        <v>3737</v>
      </c>
      <c r="B14" s="34"/>
      <c r="C14" s="34"/>
      <c r="D14" s="2" t="s">
        <v>38</v>
      </c>
      <c r="E14" s="2" t="s">
        <v>39</v>
      </c>
      <c r="F14" s="34" t="s">
        <v>37</v>
      </c>
      <c r="G14" s="34"/>
      <c r="H14" s="34"/>
      <c r="I14" s="28">
        <v>3</v>
      </c>
      <c r="J14" s="28">
        <v>2</v>
      </c>
      <c r="K14" s="19">
        <v>0.66666666666666663</v>
      </c>
      <c r="L14"/>
      <c r="M14" s="28">
        <v>2</v>
      </c>
      <c r="X14" s="34"/>
    </row>
    <row r="15" spans="1:24" x14ac:dyDescent="0.25">
      <c r="A15" s="28">
        <v>3737</v>
      </c>
      <c r="B15" s="34"/>
      <c r="C15" s="34"/>
      <c r="D15" s="2" t="s">
        <v>59</v>
      </c>
      <c r="E15" s="2" t="s">
        <v>60</v>
      </c>
      <c r="F15" s="34" t="s">
        <v>37</v>
      </c>
      <c r="G15" s="34"/>
      <c r="H15" s="34"/>
      <c r="I15" s="28">
        <v>2</v>
      </c>
      <c r="J15" s="28">
        <v>1</v>
      </c>
      <c r="K15" s="19">
        <v>0.5</v>
      </c>
      <c r="L15"/>
      <c r="M15" s="28">
        <v>1</v>
      </c>
      <c r="O15" s="28">
        <v>0</v>
      </c>
      <c r="Q15" s="28">
        <v>0</v>
      </c>
      <c r="S15" s="28">
        <v>0</v>
      </c>
      <c r="U15" s="28">
        <v>0</v>
      </c>
      <c r="X15" s="34"/>
    </row>
    <row r="16" spans="1:24" x14ac:dyDescent="0.25">
      <c r="A16" s="28">
        <v>3737</v>
      </c>
      <c r="B16" s="34"/>
      <c r="C16" s="34"/>
      <c r="D16" s="2" t="s">
        <v>53</v>
      </c>
      <c r="E16" s="2" t="s">
        <v>54</v>
      </c>
      <c r="F16" s="34" t="s">
        <v>37</v>
      </c>
      <c r="G16" s="34"/>
      <c r="H16" s="34"/>
      <c r="I16" s="28">
        <v>1</v>
      </c>
      <c r="J16" s="28">
        <v>0</v>
      </c>
      <c r="K16" s="19">
        <v>0</v>
      </c>
      <c r="L16"/>
      <c r="X16" s="34"/>
    </row>
    <row r="17" spans="1:24" x14ac:dyDescent="0.25">
      <c r="A17" s="28">
        <v>3737</v>
      </c>
      <c r="B17" s="34"/>
      <c r="C17" s="34"/>
      <c r="D17" s="2" t="s">
        <v>61</v>
      </c>
      <c r="E17" s="2" t="s">
        <v>62</v>
      </c>
      <c r="F17" s="34" t="s">
        <v>37</v>
      </c>
      <c r="G17" s="34"/>
      <c r="H17" s="34"/>
      <c r="I17" s="28">
        <v>2</v>
      </c>
      <c r="J17" s="28">
        <v>1</v>
      </c>
      <c r="K17" s="19">
        <v>0.5</v>
      </c>
      <c r="L17"/>
      <c r="M17" s="28">
        <v>1</v>
      </c>
      <c r="O17" s="28">
        <v>0</v>
      </c>
      <c r="Q17" s="28">
        <v>0</v>
      </c>
      <c r="S17" s="28">
        <v>0</v>
      </c>
      <c r="U17" s="28">
        <v>0</v>
      </c>
      <c r="X17" s="34"/>
    </row>
    <row r="18" spans="1:24" x14ac:dyDescent="0.25">
      <c r="A18" s="28">
        <v>3737</v>
      </c>
      <c r="B18" s="34"/>
      <c r="C18" s="34"/>
      <c r="D18" s="2" t="s">
        <v>55</v>
      </c>
      <c r="E18" s="2" t="s">
        <v>56</v>
      </c>
      <c r="F18" s="34" t="s">
        <v>37</v>
      </c>
      <c r="G18" s="34"/>
      <c r="H18" s="34"/>
      <c r="I18" s="28">
        <v>1</v>
      </c>
      <c r="J18" s="28">
        <v>1</v>
      </c>
      <c r="K18" s="19">
        <v>1</v>
      </c>
      <c r="L18"/>
      <c r="M18" s="28">
        <v>1</v>
      </c>
      <c r="X18" s="34"/>
    </row>
    <row r="19" spans="1:24" x14ac:dyDescent="0.25">
      <c r="A19" s="28">
        <v>3738</v>
      </c>
      <c r="B19" s="34"/>
      <c r="C19" s="34"/>
      <c r="D19" s="2" t="s">
        <v>47</v>
      </c>
      <c r="E19" s="2" t="s">
        <v>48</v>
      </c>
      <c r="F19" s="34" t="s">
        <v>37</v>
      </c>
      <c r="G19" s="34"/>
      <c r="H19" s="34"/>
      <c r="I19" s="28">
        <v>2</v>
      </c>
      <c r="J19" s="28">
        <v>0</v>
      </c>
      <c r="K19" s="19">
        <v>0</v>
      </c>
      <c r="L19"/>
      <c r="X19" s="34"/>
    </row>
    <row r="20" spans="1:24" x14ac:dyDescent="0.25">
      <c r="A20" s="28">
        <v>3738</v>
      </c>
      <c r="B20" s="34"/>
      <c r="C20" s="34"/>
      <c r="D20" s="2" t="s">
        <v>45</v>
      </c>
      <c r="E20" s="2" t="s">
        <v>46</v>
      </c>
      <c r="F20" s="34" t="s">
        <v>37</v>
      </c>
      <c r="G20" s="34"/>
      <c r="H20" s="34"/>
      <c r="I20" s="28">
        <v>20</v>
      </c>
      <c r="J20" s="28">
        <v>1</v>
      </c>
      <c r="K20" s="19">
        <v>0.05</v>
      </c>
      <c r="L20"/>
      <c r="M20" s="28">
        <v>1</v>
      </c>
      <c r="O20" s="28">
        <v>0</v>
      </c>
      <c r="Q20" s="28">
        <v>0</v>
      </c>
      <c r="S20" s="28">
        <v>0</v>
      </c>
      <c r="U20" s="28">
        <v>0</v>
      </c>
      <c r="X20" s="34"/>
    </row>
    <row r="21" spans="1:24" x14ac:dyDescent="0.25">
      <c r="A21" s="28">
        <v>3738</v>
      </c>
      <c r="B21" s="34"/>
      <c r="C21" s="34"/>
      <c r="D21" s="2" t="s">
        <v>41</v>
      </c>
      <c r="E21" s="2" t="s">
        <v>42</v>
      </c>
      <c r="F21" s="34" t="s">
        <v>37</v>
      </c>
      <c r="G21" s="34"/>
      <c r="H21" s="34"/>
      <c r="I21" s="28">
        <v>4</v>
      </c>
      <c r="J21" s="28">
        <v>2</v>
      </c>
      <c r="K21" s="19">
        <v>0.5</v>
      </c>
      <c r="L21"/>
      <c r="M21" s="28">
        <v>2</v>
      </c>
      <c r="O21" s="28">
        <v>0</v>
      </c>
      <c r="Q21" s="28">
        <v>0</v>
      </c>
      <c r="S21" s="28">
        <v>0</v>
      </c>
      <c r="U21" s="28">
        <v>0</v>
      </c>
      <c r="X21" s="34"/>
    </row>
    <row r="22" spans="1:24" x14ac:dyDescent="0.25">
      <c r="A22" s="28">
        <v>3738</v>
      </c>
      <c r="B22" s="34"/>
      <c r="C22" s="34"/>
      <c r="D22" s="2" t="s">
        <v>43</v>
      </c>
      <c r="E22" s="2" t="s">
        <v>44</v>
      </c>
      <c r="F22" s="34" t="s">
        <v>37</v>
      </c>
      <c r="G22" s="34"/>
      <c r="H22" s="34"/>
      <c r="I22" s="28">
        <v>3</v>
      </c>
      <c r="J22" s="28">
        <v>2</v>
      </c>
      <c r="K22" s="19">
        <v>0.66666666666666663</v>
      </c>
      <c r="L22"/>
      <c r="M22" s="28">
        <v>2</v>
      </c>
      <c r="O22" s="28">
        <v>0</v>
      </c>
      <c r="Q22" s="28">
        <v>0</v>
      </c>
      <c r="S22" s="28">
        <v>0</v>
      </c>
      <c r="U22" s="28">
        <v>0</v>
      </c>
      <c r="X22" s="34"/>
    </row>
    <row r="23" spans="1:24" x14ac:dyDescent="0.25">
      <c r="A23" s="28">
        <v>3738</v>
      </c>
      <c r="B23" s="34"/>
      <c r="C23" s="34"/>
      <c r="D23" s="2" t="s">
        <v>24</v>
      </c>
      <c r="E23" s="2" t="s">
        <v>36</v>
      </c>
      <c r="F23" s="34" t="s">
        <v>37</v>
      </c>
      <c r="G23" s="34"/>
      <c r="H23" s="34"/>
      <c r="I23" s="28">
        <v>3</v>
      </c>
      <c r="J23" s="28">
        <v>2</v>
      </c>
      <c r="K23" s="19">
        <v>0.66666666666666663</v>
      </c>
      <c r="L23"/>
      <c r="M23" s="28">
        <v>2</v>
      </c>
      <c r="O23" s="28">
        <v>0</v>
      </c>
      <c r="Q23" s="28">
        <v>0</v>
      </c>
      <c r="S23" s="28">
        <v>0</v>
      </c>
      <c r="U23" s="28">
        <v>0</v>
      </c>
      <c r="X23" s="34"/>
    </row>
    <row r="24" spans="1:24" x14ac:dyDescent="0.25">
      <c r="A24" s="28">
        <v>3738</v>
      </c>
      <c r="B24" s="34"/>
      <c r="C24" s="34"/>
      <c r="D24" s="2" t="s">
        <v>25</v>
      </c>
      <c r="E24" s="2" t="s">
        <v>40</v>
      </c>
      <c r="F24" s="34" t="s">
        <v>37</v>
      </c>
      <c r="G24" s="34"/>
      <c r="H24" s="34"/>
      <c r="I24" s="28">
        <v>2</v>
      </c>
      <c r="J24" s="28">
        <v>1</v>
      </c>
      <c r="K24" s="19">
        <v>0.5</v>
      </c>
      <c r="L24"/>
      <c r="M24" s="28">
        <v>1</v>
      </c>
      <c r="X24" s="34"/>
    </row>
    <row r="25" spans="1:24" x14ac:dyDescent="0.25">
      <c r="A25" s="28"/>
      <c r="B25" s="34"/>
      <c r="C25" s="34"/>
      <c r="D25" s="2"/>
      <c r="E25" s="2"/>
      <c r="F25" s="34"/>
      <c r="G25" s="34"/>
      <c r="H25" s="34"/>
      <c r="J25" s="28"/>
      <c r="K25" s="19"/>
      <c r="L25"/>
      <c r="X25" s="34"/>
    </row>
    <row r="26" spans="1:24" x14ac:dyDescent="0.25">
      <c r="A26" s="28"/>
      <c r="B26" s="34"/>
      <c r="C26" s="34"/>
      <c r="D26" s="2"/>
      <c r="E26" s="2"/>
      <c r="F26" s="34"/>
      <c r="G26" s="34"/>
      <c r="H26" s="34"/>
      <c r="J26" s="28"/>
      <c r="K26" s="19"/>
      <c r="L26"/>
      <c r="X26" s="34"/>
    </row>
    <row r="27" spans="1:24" x14ac:dyDescent="0.25">
      <c r="A27" s="28"/>
      <c r="B27" s="34"/>
      <c r="C27" s="34"/>
      <c r="D27" s="2"/>
      <c r="E27" s="2"/>
      <c r="F27" s="34"/>
      <c r="G27" s="34"/>
      <c r="H27" s="34"/>
      <c r="J27" s="28"/>
      <c r="K27" s="19"/>
      <c r="L27" s="49"/>
      <c r="X27" s="34"/>
    </row>
    <row r="28" spans="1:24" x14ac:dyDescent="0.25">
      <c r="A28" s="28"/>
      <c r="B28" s="34"/>
      <c r="C28" s="34"/>
      <c r="D28" s="2"/>
      <c r="E28" s="2"/>
      <c r="F28" s="34"/>
      <c r="G28" s="34"/>
      <c r="H28" s="34"/>
      <c r="J28" s="28"/>
      <c r="K28" s="19"/>
      <c r="L28"/>
      <c r="X28" s="34"/>
    </row>
    <row r="29" spans="1:24" x14ac:dyDescent="0.25">
      <c r="A29" s="28"/>
      <c r="B29" s="34"/>
      <c r="C29" s="34"/>
      <c r="D29" s="2"/>
      <c r="E29" s="2"/>
      <c r="F29" s="34"/>
      <c r="G29" s="34"/>
      <c r="H29" s="34"/>
      <c r="J29" s="28"/>
      <c r="K29" s="19"/>
      <c r="L29"/>
      <c r="X29" s="34"/>
    </row>
    <row r="30" spans="1:24" x14ac:dyDescent="0.25">
      <c r="A30" s="28"/>
      <c r="B30" s="34"/>
      <c r="C30" s="34"/>
      <c r="D30" s="2"/>
      <c r="E30" s="2"/>
      <c r="F30" s="34"/>
      <c r="G30" s="34"/>
      <c r="H30" s="34"/>
      <c r="J30" s="28"/>
      <c r="K30" s="19"/>
      <c r="L30"/>
      <c r="X30" s="34"/>
    </row>
    <row r="31" spans="1:24" x14ac:dyDescent="0.25">
      <c r="A31" s="28"/>
      <c r="B31" s="34"/>
      <c r="C31" s="34"/>
      <c r="D31" s="2"/>
      <c r="E31" s="2"/>
      <c r="F31" s="34"/>
      <c r="G31" s="34"/>
      <c r="H31" s="34"/>
      <c r="J31" s="28"/>
      <c r="K31" s="19"/>
      <c r="L31"/>
      <c r="X31" s="34"/>
    </row>
    <row r="32" spans="1:24" x14ac:dyDescent="0.25">
      <c r="A32" s="28"/>
      <c r="B32" s="34"/>
      <c r="C32" s="34"/>
      <c r="D32" s="2"/>
      <c r="E32" s="2"/>
      <c r="F32" s="34"/>
      <c r="G32" s="34"/>
      <c r="H32" s="34"/>
      <c r="J32" s="28"/>
      <c r="K32" s="19"/>
      <c r="L32"/>
      <c r="X32" s="34"/>
    </row>
    <row r="33" spans="1:24" x14ac:dyDescent="0.25">
      <c r="A33" s="28"/>
      <c r="B33" s="34"/>
      <c r="C33" s="34"/>
      <c r="D33" s="2"/>
      <c r="E33" s="2"/>
      <c r="F33" s="34"/>
      <c r="G33" s="34"/>
      <c r="H33" s="34"/>
      <c r="J33" s="28"/>
      <c r="K33" s="19"/>
      <c r="L33"/>
      <c r="X33" s="34"/>
    </row>
    <row r="34" spans="1:24" x14ac:dyDescent="0.25">
      <c r="A34" s="28"/>
      <c r="B34" s="34"/>
      <c r="C34" s="34"/>
      <c r="D34" s="2"/>
      <c r="E34" s="2"/>
      <c r="F34" s="34"/>
      <c r="G34" s="34"/>
      <c r="H34" s="34"/>
      <c r="J34" s="28"/>
      <c r="K34" s="19"/>
      <c r="L34"/>
      <c r="X34" s="34"/>
    </row>
    <row r="35" spans="1:24" x14ac:dyDescent="0.25">
      <c r="A35" s="28"/>
      <c r="B35" s="34"/>
      <c r="C35" s="34"/>
      <c r="D35" s="2"/>
      <c r="E35" s="2"/>
      <c r="F35" s="34"/>
      <c r="G35" s="34"/>
      <c r="H35" s="34"/>
      <c r="J35" s="28"/>
      <c r="K35" s="19"/>
      <c r="L35"/>
      <c r="X35" s="34"/>
    </row>
    <row r="36" spans="1:24" x14ac:dyDescent="0.25">
      <c r="A36" s="28"/>
      <c r="B36" s="34"/>
      <c r="C36" s="34"/>
      <c r="D36" s="2"/>
      <c r="E36" s="2"/>
      <c r="F36" s="34"/>
      <c r="G36" s="34"/>
      <c r="H36" s="34"/>
      <c r="J36" s="28"/>
      <c r="K36" s="19"/>
      <c r="L36"/>
      <c r="X36" s="34"/>
    </row>
    <row r="37" spans="1:24" x14ac:dyDescent="0.25">
      <c r="A37" s="28"/>
      <c r="B37" s="34"/>
      <c r="C37" s="34"/>
      <c r="D37" s="2"/>
      <c r="E37" s="2"/>
      <c r="F37" s="34"/>
      <c r="G37" s="34"/>
      <c r="H37" s="34"/>
      <c r="J37" s="28"/>
      <c r="K37" s="19"/>
      <c r="L37"/>
      <c r="X37" s="34"/>
    </row>
    <row r="38" spans="1:24" x14ac:dyDescent="0.25">
      <c r="A38" s="28"/>
      <c r="B38" s="34"/>
      <c r="C38" s="34"/>
      <c r="D38" s="2"/>
      <c r="E38" s="2"/>
      <c r="F38" s="34"/>
      <c r="G38" s="34"/>
      <c r="H38" s="34"/>
      <c r="J38" s="28"/>
      <c r="K38" s="19"/>
      <c r="L38"/>
      <c r="X38" s="34"/>
    </row>
    <row r="39" spans="1:24" x14ac:dyDescent="0.25">
      <c r="A39" s="28"/>
      <c r="B39" s="34"/>
      <c r="C39" s="34"/>
      <c r="D39" s="2"/>
      <c r="E39" s="2"/>
      <c r="F39" s="34"/>
      <c r="G39" s="34"/>
      <c r="H39" s="34"/>
      <c r="J39" s="28"/>
      <c r="K39" s="19"/>
      <c r="L39"/>
    </row>
  </sheetData>
  <mergeCells count="1">
    <mergeCell ref="C1:E1"/>
  </mergeCells>
  <conditionalFormatting sqref="J1:J4 J40:J1048576 K5:K39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zoomScale="70" zoomScaleNormal="70" workbookViewId="0">
      <pane ySplit="5" topLeftCell="A6" activePane="bottomLeft" state="frozen"/>
      <selection pane="bottomLeft" activeCell="L8" sqref="L8"/>
    </sheetView>
  </sheetViews>
  <sheetFormatPr defaultRowHeight="15" x14ac:dyDescent="0.25"/>
  <cols>
    <col min="1" max="1" width="13.85546875" style="23" bestFit="1" customWidth="1"/>
    <col min="2" max="2" width="17.7109375" bestFit="1" customWidth="1"/>
    <col min="3" max="3" width="18.85546875" bestFit="1" customWidth="1"/>
    <col min="4" max="4" width="28.85546875" bestFit="1" customWidth="1"/>
    <col min="5" max="5" width="54.85546875" bestFit="1" customWidth="1"/>
    <col min="6" max="6" width="23.5703125" bestFit="1" customWidth="1"/>
    <col min="7" max="7" width="38.140625" bestFit="1" customWidth="1"/>
    <col min="8" max="8" width="19.28515625" bestFit="1" customWidth="1"/>
    <col min="9" max="9" width="18.5703125" style="10" bestFit="1" customWidth="1"/>
    <col min="10" max="10" width="25.85546875" style="19" bestFit="1" customWidth="1"/>
    <col min="11" max="11" width="16.7109375" bestFit="1" customWidth="1"/>
    <col min="12" max="12" width="21" style="10" bestFit="1" customWidth="1"/>
    <col min="13" max="13" width="22.140625" style="18" bestFit="1" customWidth="1"/>
    <col min="14" max="14" width="23.42578125" style="10" bestFit="1" customWidth="1"/>
    <col min="15" max="15" width="22.140625" style="18" bestFit="1" customWidth="1"/>
    <col min="16" max="16" width="23.42578125" style="10" bestFit="1" customWidth="1"/>
    <col min="17" max="17" width="22.140625" style="18" bestFit="1" customWidth="1"/>
    <col min="18" max="18" width="23.42578125" style="10" bestFit="1" customWidth="1"/>
    <col min="19" max="19" width="22.140625" style="18" bestFit="1" customWidth="1"/>
    <col min="20" max="20" width="23.42578125" style="10" bestFit="1" customWidth="1"/>
    <col min="21" max="21" width="22.140625" style="18" bestFit="1" customWidth="1"/>
    <col min="22" max="22" width="23.42578125" style="10" bestFit="1" customWidth="1"/>
    <col min="23" max="23" width="9.140625" style="10"/>
  </cols>
  <sheetData>
    <row r="1" spans="1:24" ht="31.5" x14ac:dyDescent="0.5">
      <c r="A1" s="26"/>
      <c r="B1" s="21"/>
      <c r="C1" s="50" t="s">
        <v>2</v>
      </c>
      <c r="D1" s="51"/>
      <c r="E1" s="51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57</v>
      </c>
      <c r="C6" s="31">
        <v>106</v>
      </c>
      <c r="D6" s="2" t="s">
        <v>51</v>
      </c>
      <c r="E6" s="2" t="s">
        <v>52</v>
      </c>
      <c r="F6" s="31" t="s">
        <v>37</v>
      </c>
      <c r="G6" s="31">
        <v>1</v>
      </c>
      <c r="H6" s="31">
        <v>1</v>
      </c>
      <c r="I6" s="31">
        <v>1</v>
      </c>
      <c r="J6" s="10">
        <f>SUM(M6,O6,Q6,S6,U6)</f>
        <v>1</v>
      </c>
      <c r="K6" s="19">
        <f>VendorInventory[[#This Row],[Total Qty Received              Do Not Modify]]/VendorInventory[[#This Row],[Total Qty]]</f>
        <v>1</v>
      </c>
      <c r="L6"/>
      <c r="M6" s="10">
        <v>1</v>
      </c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35</v>
      </c>
      <c r="C7" s="31">
        <v>108</v>
      </c>
      <c r="D7" s="2" t="s">
        <v>51</v>
      </c>
      <c r="E7" s="2" t="s">
        <v>52</v>
      </c>
      <c r="F7" s="31" t="s">
        <v>37</v>
      </c>
      <c r="G7" s="31">
        <v>2</v>
      </c>
      <c r="H7" s="31">
        <v>1</v>
      </c>
      <c r="I7" s="31">
        <v>2</v>
      </c>
      <c r="J7" s="30">
        <f>SUM(M7,O7,Q7,S7,U7)</f>
        <v>0</v>
      </c>
      <c r="K7" s="19">
        <f>VendorInventory[[#This Row],[Total Qty Received              Do Not Modify]]/VendorInventory[[#This Row],[Total Qty]]</f>
        <v>0</v>
      </c>
      <c r="L7"/>
      <c r="M7" s="48"/>
      <c r="N7" s="18"/>
      <c r="O7" s="48"/>
      <c r="P7" s="18"/>
      <c r="Q7" s="48"/>
      <c r="R7" s="18"/>
      <c r="S7" s="48"/>
      <c r="T7" s="18"/>
      <c r="U7" s="48"/>
      <c r="V7" s="18"/>
      <c r="X7" s="10"/>
    </row>
    <row r="8" spans="1:24" x14ac:dyDescent="0.25">
      <c r="A8" s="28">
        <v>3737</v>
      </c>
      <c r="B8" s="31" t="s">
        <v>63</v>
      </c>
      <c r="C8" s="31">
        <v>109</v>
      </c>
      <c r="D8" s="2" t="s">
        <v>51</v>
      </c>
      <c r="E8" s="2" t="s">
        <v>52</v>
      </c>
      <c r="F8" s="31" t="s">
        <v>37</v>
      </c>
      <c r="G8" s="31">
        <v>1</v>
      </c>
      <c r="H8" s="31">
        <v>1</v>
      </c>
      <c r="I8" s="31">
        <v>1</v>
      </c>
      <c r="J8" s="30">
        <f>SUM(M8,O8,Q8,S8,U8)</f>
        <v>0</v>
      </c>
      <c r="K8" s="19">
        <f>VendorInventory[[#This Row],[Total Qty Received              Do Not Modify]]/VendorInventory[[#This Row],[Total Qty]]</f>
        <v>0</v>
      </c>
      <c r="L8" s="48"/>
      <c r="M8" s="32"/>
      <c r="N8" s="18"/>
      <c r="O8" s="32"/>
      <c r="P8" s="18"/>
      <c r="Q8" s="32"/>
      <c r="R8" s="18"/>
      <c r="S8" s="32"/>
      <c r="T8" s="18"/>
      <c r="U8" s="32"/>
      <c r="V8" s="18"/>
      <c r="X8" s="10"/>
    </row>
    <row r="9" spans="1:24" x14ac:dyDescent="0.25">
      <c r="A9" s="28">
        <v>3737</v>
      </c>
      <c r="B9" s="31" t="s">
        <v>57</v>
      </c>
      <c r="C9" s="31">
        <v>105</v>
      </c>
      <c r="D9" s="2" t="s">
        <v>49</v>
      </c>
      <c r="E9" s="2" t="s">
        <v>50</v>
      </c>
      <c r="F9" s="31" t="s">
        <v>37</v>
      </c>
      <c r="G9" s="31">
        <v>1</v>
      </c>
      <c r="H9" s="31">
        <v>1</v>
      </c>
      <c r="I9" s="31">
        <v>1</v>
      </c>
      <c r="J9" s="30">
        <f>SUM(M9,O9,Q9,S9,U9)</f>
        <v>1</v>
      </c>
      <c r="K9" s="19">
        <f>VendorInventory[[#This Row],[Total Qty Received              Do Not Modify]]/VendorInventory[[#This Row],[Total Qty]]</f>
        <v>1</v>
      </c>
      <c r="L9"/>
      <c r="M9" s="29">
        <v>1</v>
      </c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35</v>
      </c>
      <c r="C10" s="31">
        <v>107</v>
      </c>
      <c r="D10" s="2" t="s">
        <v>49</v>
      </c>
      <c r="E10" s="2" t="s">
        <v>50</v>
      </c>
      <c r="F10" s="31" t="s">
        <v>37</v>
      </c>
      <c r="G10" s="31">
        <v>1</v>
      </c>
      <c r="H10" s="31">
        <v>1</v>
      </c>
      <c r="I10" s="31">
        <v>1</v>
      </c>
      <c r="J10" s="30">
        <f>SUM(M10,O10,Q10,S10,U10)</f>
        <v>0</v>
      </c>
      <c r="K10" s="19">
        <f>VendorInventory[[#This Row],[Total Qty Received              Do Not Modify]]/VendorInventory[[#This Row],[Total Qty]]</f>
        <v>0</v>
      </c>
      <c r="L10"/>
      <c r="M10" s="29"/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63</v>
      </c>
      <c r="C11" s="31">
        <v>106</v>
      </c>
      <c r="D11" s="2" t="s">
        <v>49</v>
      </c>
      <c r="E11" s="2" t="s">
        <v>50</v>
      </c>
      <c r="F11" s="31" t="s">
        <v>37</v>
      </c>
      <c r="G11" s="31">
        <v>1</v>
      </c>
      <c r="H11" s="31">
        <v>1</v>
      </c>
      <c r="I11" s="31">
        <v>1</v>
      </c>
      <c r="J11" s="30">
        <f>SUM(M11,O11,Q11,S11,U11)</f>
        <v>0</v>
      </c>
      <c r="K11" s="19">
        <f>VendorInventory[[#This Row],[Total Qty Received              Do Not Modify]]/VendorInventory[[#This Row],[Total Qty]]</f>
        <v>0</v>
      </c>
      <c r="L11"/>
      <c r="M11" s="29"/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3737</v>
      </c>
      <c r="B12" s="31" t="s">
        <v>57</v>
      </c>
      <c r="C12" s="31">
        <v>104</v>
      </c>
      <c r="D12" s="2" t="s">
        <v>47</v>
      </c>
      <c r="E12" s="2" t="s">
        <v>48</v>
      </c>
      <c r="F12" s="31" t="s">
        <v>37</v>
      </c>
      <c r="G12" s="31">
        <v>2</v>
      </c>
      <c r="H12" s="31">
        <v>1</v>
      </c>
      <c r="I12" s="31">
        <v>2</v>
      </c>
      <c r="J12" s="30">
        <f>SUM(M12,O12,Q12,S12,U12)</f>
        <v>1</v>
      </c>
      <c r="K12" s="19">
        <f>VendorInventory[[#This Row],[Total Qty Received              Do Not Modify]]/VendorInventory[[#This Row],[Total Qty]]</f>
        <v>0.5</v>
      </c>
      <c r="L12"/>
      <c r="M12" s="29">
        <v>1</v>
      </c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35</v>
      </c>
      <c r="C13" s="31">
        <v>106</v>
      </c>
      <c r="D13" s="2" t="s">
        <v>47</v>
      </c>
      <c r="E13" s="2" t="s">
        <v>48</v>
      </c>
      <c r="F13" s="31" t="s">
        <v>37</v>
      </c>
      <c r="G13" s="31">
        <v>1</v>
      </c>
      <c r="H13" s="31">
        <v>1</v>
      </c>
      <c r="I13" s="31">
        <v>1</v>
      </c>
      <c r="J13" s="30">
        <f>SUM(M13,O13,Q13,S13,U13)</f>
        <v>0</v>
      </c>
      <c r="K13" s="19">
        <f>VendorInventory[[#This Row],[Total Qty Received              Do Not Modify]]/VendorInventory[[#This Row],[Total Qty]]</f>
        <v>0</v>
      </c>
      <c r="L13"/>
      <c r="M13" s="29"/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3737</v>
      </c>
      <c r="B14" s="31" t="s">
        <v>57</v>
      </c>
      <c r="C14" s="31">
        <v>103</v>
      </c>
      <c r="D14" s="2" t="s">
        <v>45</v>
      </c>
      <c r="E14" s="2" t="s">
        <v>46</v>
      </c>
      <c r="F14" s="31" t="s">
        <v>37</v>
      </c>
      <c r="G14" s="31">
        <v>5</v>
      </c>
      <c r="H14" s="31">
        <v>1</v>
      </c>
      <c r="I14" s="31">
        <v>5</v>
      </c>
      <c r="J14" s="30">
        <f>SUM(M14,O14,Q14,S14,U14)</f>
        <v>1</v>
      </c>
      <c r="K14" s="19">
        <f>VendorInventory[[#This Row],[Total Qty Received              Do Not Modify]]/VendorInventory[[#This Row],[Total Qty]]</f>
        <v>0.2</v>
      </c>
      <c r="L14"/>
      <c r="M14" s="29">
        <v>1</v>
      </c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3737</v>
      </c>
      <c r="B15" s="31" t="s">
        <v>35</v>
      </c>
      <c r="C15" s="31">
        <v>105</v>
      </c>
      <c r="D15" s="2" t="s">
        <v>45</v>
      </c>
      <c r="E15" s="2" t="s">
        <v>46</v>
      </c>
      <c r="F15" s="31" t="s">
        <v>37</v>
      </c>
      <c r="G15" s="31">
        <v>16</v>
      </c>
      <c r="H15" s="31">
        <v>1</v>
      </c>
      <c r="I15" s="31">
        <v>16</v>
      </c>
      <c r="J15" s="30">
        <f>SUM(M15,O15,Q15,S15,U15)</f>
        <v>0</v>
      </c>
      <c r="K15" s="19">
        <f>VendorInventory[[#This Row],[Total Qty Received              Do Not Modify]]/VendorInventory[[#This Row],[Total Qty]]</f>
        <v>0</v>
      </c>
      <c r="L15"/>
      <c r="M15" s="29"/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57</v>
      </c>
      <c r="C16" s="31">
        <v>101</v>
      </c>
      <c r="D16" s="2" t="s">
        <v>41</v>
      </c>
      <c r="E16" s="2" t="s">
        <v>42</v>
      </c>
      <c r="F16" s="31" t="s">
        <v>37</v>
      </c>
      <c r="G16" s="31">
        <v>2</v>
      </c>
      <c r="H16" s="31">
        <v>1</v>
      </c>
      <c r="I16" s="31">
        <v>2</v>
      </c>
      <c r="J16" s="30">
        <f>SUM(M16,O16,Q16,S16,U16)</f>
        <v>1</v>
      </c>
      <c r="K16" s="19">
        <f>VendorInventory[[#This Row],[Total Qty Received              Do Not Modify]]/VendorInventory[[#This Row],[Total Qty]]</f>
        <v>0.5</v>
      </c>
      <c r="L16"/>
      <c r="M16" s="29">
        <v>1</v>
      </c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35</v>
      </c>
      <c r="C17" s="31">
        <v>103</v>
      </c>
      <c r="D17" s="2" t="s">
        <v>41</v>
      </c>
      <c r="E17" s="2" t="s">
        <v>42</v>
      </c>
      <c r="F17" s="31" t="s">
        <v>37</v>
      </c>
      <c r="G17" s="31">
        <v>5</v>
      </c>
      <c r="H17" s="31">
        <v>1</v>
      </c>
      <c r="I17" s="31">
        <v>5</v>
      </c>
      <c r="J17" s="30">
        <f>SUM(M17,O17,Q17,S17,U17)</f>
        <v>0</v>
      </c>
      <c r="K17" s="19">
        <f>VendorInventory[[#This Row],[Total Qty Received              Do Not Modify]]/VendorInventory[[#This Row],[Total Qty]]</f>
        <v>0</v>
      </c>
      <c r="L17"/>
      <c r="M17" s="29"/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3737</v>
      </c>
      <c r="B18" s="31" t="s">
        <v>57</v>
      </c>
      <c r="C18" s="31">
        <v>102</v>
      </c>
      <c r="D18" s="2" t="s">
        <v>43</v>
      </c>
      <c r="E18" s="2" t="s">
        <v>44</v>
      </c>
      <c r="F18" s="31" t="s">
        <v>37</v>
      </c>
      <c r="G18" s="31">
        <v>1</v>
      </c>
      <c r="H18" s="31">
        <v>1</v>
      </c>
      <c r="I18" s="31">
        <v>1</v>
      </c>
      <c r="J18" s="30">
        <f>SUM(M18,O18,Q18,S18,U18)</f>
        <v>1</v>
      </c>
      <c r="K18" s="19">
        <f>VendorInventory[[#This Row],[Total Qty Received              Do Not Modify]]/VendorInventory[[#This Row],[Total Qty]]</f>
        <v>1</v>
      </c>
      <c r="L18"/>
      <c r="M18" s="29">
        <v>1</v>
      </c>
      <c r="N18" s="18"/>
      <c r="O18" s="10"/>
      <c r="P18" s="18"/>
      <c r="Q18" s="10"/>
      <c r="R18" s="18"/>
      <c r="S18" s="10"/>
      <c r="T18" s="18"/>
      <c r="U18" s="10"/>
      <c r="V18" s="18"/>
      <c r="X18" s="10"/>
    </row>
    <row r="19" spans="1:24" x14ac:dyDescent="0.25">
      <c r="A19" s="28">
        <v>3737</v>
      </c>
      <c r="B19" s="31" t="s">
        <v>35</v>
      </c>
      <c r="C19" s="31">
        <v>104</v>
      </c>
      <c r="D19" s="2" t="s">
        <v>43</v>
      </c>
      <c r="E19" s="2" t="s">
        <v>44</v>
      </c>
      <c r="F19" s="31" t="s">
        <v>37</v>
      </c>
      <c r="G19" s="31">
        <v>1</v>
      </c>
      <c r="H19" s="31">
        <v>1</v>
      </c>
      <c r="I19" s="31">
        <v>1</v>
      </c>
      <c r="J19" s="30">
        <f>SUM(M19,O19,Q19,S19,U19)</f>
        <v>0</v>
      </c>
      <c r="K19" s="19">
        <f>VendorInventory[[#This Row],[Total Qty Received              Do Not Modify]]/VendorInventory[[#This Row],[Total Qty]]</f>
        <v>0</v>
      </c>
      <c r="L19"/>
      <c r="M19" s="29"/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3737</v>
      </c>
      <c r="B20" s="31" t="s">
        <v>35</v>
      </c>
      <c r="C20" s="31">
        <v>100</v>
      </c>
      <c r="D20" s="2" t="s">
        <v>24</v>
      </c>
      <c r="E20" s="2" t="s">
        <v>36</v>
      </c>
      <c r="F20" s="31" t="s">
        <v>37</v>
      </c>
      <c r="G20" s="31">
        <v>1</v>
      </c>
      <c r="H20" s="31">
        <v>1</v>
      </c>
      <c r="I20" s="31">
        <v>1</v>
      </c>
      <c r="J20" s="30">
        <f>SUM(M20,O20,Q20,S20,U20)</f>
        <v>1</v>
      </c>
      <c r="K20" s="19">
        <f>VendorInventory[[#This Row],[Total Qty Received              Do Not Modify]]/VendorInventory[[#This Row],[Total Qty]]</f>
        <v>1</v>
      </c>
      <c r="L20"/>
      <c r="M20" s="29">
        <v>1</v>
      </c>
      <c r="N20" s="18"/>
      <c r="O20" s="10"/>
      <c r="P20" s="18"/>
      <c r="Q20" s="10"/>
      <c r="R20" s="18"/>
      <c r="S20" s="10"/>
      <c r="T20" s="18"/>
      <c r="U20" s="10"/>
      <c r="V20" s="18"/>
      <c r="X20" s="10"/>
    </row>
    <row r="21" spans="1:24" x14ac:dyDescent="0.25">
      <c r="A21" s="28">
        <v>3737</v>
      </c>
      <c r="B21" s="31" t="s">
        <v>57</v>
      </c>
      <c r="C21" s="31">
        <v>100</v>
      </c>
      <c r="D21" s="2" t="s">
        <v>24</v>
      </c>
      <c r="E21" s="2" t="s">
        <v>36</v>
      </c>
      <c r="F21" s="31" t="s">
        <v>37</v>
      </c>
      <c r="G21" s="31">
        <v>1</v>
      </c>
      <c r="H21" s="31">
        <v>1</v>
      </c>
      <c r="I21" s="31">
        <v>1</v>
      </c>
      <c r="J21" s="30">
        <f>SUM(M21,O21,Q21,S21,U21)</f>
        <v>1</v>
      </c>
      <c r="K21" s="19">
        <f>VendorInventory[[#This Row],[Total Qty Received              Do Not Modify]]/VendorInventory[[#This Row],[Total Qty]]</f>
        <v>1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3737</v>
      </c>
      <c r="B22" s="31" t="s">
        <v>35</v>
      </c>
      <c r="C22" s="31">
        <v>102</v>
      </c>
      <c r="D22" s="2" t="s">
        <v>25</v>
      </c>
      <c r="E22" s="2" t="s">
        <v>40</v>
      </c>
      <c r="F22" s="31" t="s">
        <v>37</v>
      </c>
      <c r="G22" s="31">
        <v>4</v>
      </c>
      <c r="H22" s="31">
        <v>1</v>
      </c>
      <c r="I22" s="31">
        <v>4</v>
      </c>
      <c r="J22" s="30">
        <f>SUM(M22,O22,Q22,S22,U22)</f>
        <v>3</v>
      </c>
      <c r="K22" s="19">
        <f>VendorInventory[[#This Row],[Total Qty Received              Do Not Modify]]/VendorInventory[[#This Row],[Total Qty]]</f>
        <v>0.75</v>
      </c>
      <c r="L22"/>
      <c r="M22" s="29">
        <v>3</v>
      </c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3737</v>
      </c>
      <c r="B23" s="31" t="s">
        <v>35</v>
      </c>
      <c r="C23" s="31">
        <v>101</v>
      </c>
      <c r="D23" s="2" t="s">
        <v>38</v>
      </c>
      <c r="E23" s="2" t="s">
        <v>39</v>
      </c>
      <c r="F23" s="31" t="s">
        <v>37</v>
      </c>
      <c r="G23" s="31">
        <v>3</v>
      </c>
      <c r="H23" s="31">
        <v>1</v>
      </c>
      <c r="I23" s="31">
        <v>3</v>
      </c>
      <c r="J23" s="30">
        <f>SUM(M23,O23,Q23,S23,U23)</f>
        <v>2</v>
      </c>
      <c r="K23" s="19">
        <f>VendorInventory[[#This Row],[Total Qty Received              Do Not Modify]]/VendorInventory[[#This Row],[Total Qty]]</f>
        <v>0.66666666666666663</v>
      </c>
      <c r="L23"/>
      <c r="M23" s="29">
        <v>2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3737</v>
      </c>
      <c r="B24" s="31" t="s">
        <v>57</v>
      </c>
      <c r="C24" s="31">
        <v>107</v>
      </c>
      <c r="D24" s="2" t="s">
        <v>59</v>
      </c>
      <c r="E24" s="2" t="s">
        <v>60</v>
      </c>
      <c r="F24" s="31" t="s">
        <v>37</v>
      </c>
      <c r="G24" s="31">
        <v>1</v>
      </c>
      <c r="H24" s="31">
        <v>1</v>
      </c>
      <c r="I24" s="31">
        <v>1</v>
      </c>
      <c r="J24" s="30">
        <f>SUM(M24,O24,Q24,S24,U24)</f>
        <v>1</v>
      </c>
      <c r="K24" s="19">
        <f>VendorInventory[[#This Row],[Total Qty Received              Do Not Modify]]/VendorInventory[[#This Row],[Total Qty]]</f>
        <v>1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3737</v>
      </c>
      <c r="B25" s="31" t="s">
        <v>63</v>
      </c>
      <c r="C25" s="31">
        <v>107</v>
      </c>
      <c r="D25" s="2" t="s">
        <v>59</v>
      </c>
      <c r="E25" s="2" t="s">
        <v>60</v>
      </c>
      <c r="F25" s="31" t="s">
        <v>37</v>
      </c>
      <c r="G25" s="31">
        <v>1</v>
      </c>
      <c r="H25" s="31">
        <v>1</v>
      </c>
      <c r="I25" s="31">
        <v>1</v>
      </c>
      <c r="J25" s="30">
        <f>SUM(M25,O25,Q25,S25,U25)</f>
        <v>0</v>
      </c>
      <c r="K25" s="19">
        <f>VendorInventory[[#This Row],[Total Qty Received              Do Not Modify]]/VendorInventory[[#This Row],[Total Qty]]</f>
        <v>0</v>
      </c>
      <c r="L25"/>
      <c r="M25" s="29"/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3737</v>
      </c>
      <c r="B26" s="31" t="s">
        <v>35</v>
      </c>
      <c r="C26" s="31">
        <v>109</v>
      </c>
      <c r="D26" s="2" t="s">
        <v>53</v>
      </c>
      <c r="E26" s="2" t="s">
        <v>54</v>
      </c>
      <c r="F26" s="31" t="s">
        <v>37</v>
      </c>
      <c r="G26" s="31">
        <v>1</v>
      </c>
      <c r="H26" s="31">
        <v>1</v>
      </c>
      <c r="I26" s="31">
        <v>1</v>
      </c>
      <c r="J26" s="30">
        <f>SUM(M26,O26,Q26,S26,U26)</f>
        <v>0</v>
      </c>
      <c r="K26" s="19">
        <f>VendorInventory[[#This Row],[Total Qty Received              Do Not Modify]]/VendorInventory[[#This Row],[Total Qty]]</f>
        <v>0</v>
      </c>
      <c r="L26"/>
      <c r="M26" s="29"/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3737</v>
      </c>
      <c r="B27" s="31" t="s">
        <v>57</v>
      </c>
      <c r="C27" s="31">
        <v>108</v>
      </c>
      <c r="D27" s="2" t="s">
        <v>61</v>
      </c>
      <c r="E27" s="2" t="s">
        <v>62</v>
      </c>
      <c r="F27" s="31" t="s">
        <v>37</v>
      </c>
      <c r="G27" s="31">
        <v>1</v>
      </c>
      <c r="H27" s="31">
        <v>1</v>
      </c>
      <c r="I27" s="31">
        <v>1</v>
      </c>
      <c r="J27" s="30">
        <f>SUM(M27,O27,Q27,S27,U27)</f>
        <v>1</v>
      </c>
      <c r="K27" s="19">
        <f>VendorInventory[[#This Row],[Total Qty Received              Do Not Modify]]/VendorInventory[[#This Row],[Total Qty]]</f>
        <v>1</v>
      </c>
      <c r="L27"/>
      <c r="M27" s="29">
        <v>1</v>
      </c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3737</v>
      </c>
      <c r="B28" s="31" t="s">
        <v>63</v>
      </c>
      <c r="C28" s="31">
        <v>108</v>
      </c>
      <c r="D28" s="2" t="s">
        <v>61</v>
      </c>
      <c r="E28" s="2" t="s">
        <v>62</v>
      </c>
      <c r="F28" s="31" t="s">
        <v>37</v>
      </c>
      <c r="G28" s="31">
        <v>1</v>
      </c>
      <c r="H28" s="31">
        <v>1</v>
      </c>
      <c r="I28" s="31">
        <v>1</v>
      </c>
      <c r="J28" s="30">
        <f>SUM(M28,O28,Q28,S28,U28)</f>
        <v>0</v>
      </c>
      <c r="K28" s="19">
        <f>VendorInventory[[#This Row],[Total Qty Received              Do Not Modify]]/VendorInventory[[#This Row],[Total Qty]]</f>
        <v>0</v>
      </c>
      <c r="L28"/>
      <c r="M28" s="48"/>
      <c r="N28" s="18"/>
      <c r="O28" s="48"/>
      <c r="P28" s="18"/>
      <c r="Q28" s="48"/>
      <c r="R28" s="18"/>
      <c r="S28" s="48"/>
      <c r="T28" s="18"/>
      <c r="U28" s="48"/>
      <c r="V28" s="18"/>
      <c r="X28" s="10"/>
    </row>
    <row r="29" spans="1:24" x14ac:dyDescent="0.25">
      <c r="A29" s="28">
        <v>3737</v>
      </c>
      <c r="B29" s="31" t="s">
        <v>35</v>
      </c>
      <c r="C29" s="31">
        <v>110</v>
      </c>
      <c r="D29" s="2" t="s">
        <v>55</v>
      </c>
      <c r="E29" s="2" t="s">
        <v>56</v>
      </c>
      <c r="F29" s="31" t="s">
        <v>37</v>
      </c>
      <c r="G29" s="31">
        <v>1</v>
      </c>
      <c r="H29" s="31">
        <v>1</v>
      </c>
      <c r="I29" s="31">
        <v>1</v>
      </c>
      <c r="J29" s="30">
        <f>SUM(M29,O29,Q29,S29,U29)</f>
        <v>1</v>
      </c>
      <c r="K29" s="19">
        <f>VendorInventory[[#This Row],[Total Qty Received              Do Not Modify]]/VendorInventory[[#This Row],[Total Qty]]</f>
        <v>1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3738</v>
      </c>
      <c r="B30" s="31" t="s">
        <v>63</v>
      </c>
      <c r="C30" s="31">
        <v>105</v>
      </c>
      <c r="D30" s="2" t="s">
        <v>47</v>
      </c>
      <c r="E30" s="2" t="s">
        <v>48</v>
      </c>
      <c r="F30" s="31" t="s">
        <v>37</v>
      </c>
      <c r="G30" s="31">
        <v>2</v>
      </c>
      <c r="H30" s="31">
        <v>1</v>
      </c>
      <c r="I30" s="31">
        <v>2</v>
      </c>
      <c r="J30" s="30">
        <f>SUM(M30,O30,Q30,S30,U30)</f>
        <v>0</v>
      </c>
      <c r="K30" s="19">
        <f>VendorInventory[[#This Row],[Total Qty Received              Do Not Modify]]/VendorInventory[[#This Row],[Total Qty]]</f>
        <v>0</v>
      </c>
      <c r="L30"/>
      <c r="M30" s="29"/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3738</v>
      </c>
      <c r="B31" s="31" t="s">
        <v>58</v>
      </c>
      <c r="C31" s="31">
        <v>103</v>
      </c>
      <c r="D31" s="2" t="s">
        <v>45</v>
      </c>
      <c r="E31" s="2" t="s">
        <v>46</v>
      </c>
      <c r="F31" s="31" t="s">
        <v>37</v>
      </c>
      <c r="G31" s="31">
        <v>8</v>
      </c>
      <c r="H31" s="31">
        <v>2</v>
      </c>
      <c r="I31" s="31">
        <v>16</v>
      </c>
      <c r="J31" s="30">
        <f>SUM(M31,O31,Q31,S31,U31)</f>
        <v>1</v>
      </c>
      <c r="K31" s="19">
        <f>VendorInventory[[#This Row],[Total Qty Received              Do Not Modify]]/VendorInventory[[#This Row],[Total Qty]]</f>
        <v>6.25E-2</v>
      </c>
      <c r="L31"/>
      <c r="M31" s="29">
        <v>1</v>
      </c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3738</v>
      </c>
      <c r="B32" s="31" t="s">
        <v>63</v>
      </c>
      <c r="C32" s="31">
        <v>104</v>
      </c>
      <c r="D32" s="2" t="s">
        <v>45</v>
      </c>
      <c r="E32" s="2" t="s">
        <v>46</v>
      </c>
      <c r="F32" s="31" t="s">
        <v>37</v>
      </c>
      <c r="G32" s="31">
        <v>4</v>
      </c>
      <c r="H32" s="31">
        <v>1</v>
      </c>
      <c r="I32" s="31">
        <v>4</v>
      </c>
      <c r="J32" s="30">
        <f>SUM(M32,O32,Q32,S32,U32)</f>
        <v>0</v>
      </c>
      <c r="K32" s="19">
        <f>VendorInventory[[#This Row],[Total Qty Received              Do Not Modify]]/VendorInventory[[#This Row],[Total Qty]]</f>
        <v>0</v>
      </c>
      <c r="L32"/>
      <c r="M32" s="29"/>
      <c r="N32" s="18"/>
      <c r="O32" s="10"/>
      <c r="P32" s="18"/>
      <c r="Q32" s="10"/>
      <c r="R32" s="18"/>
      <c r="S32" s="10"/>
      <c r="T32" s="18"/>
      <c r="U32" s="10"/>
      <c r="V32" s="18"/>
      <c r="X32" s="10"/>
    </row>
    <row r="33" spans="1:24" x14ac:dyDescent="0.25">
      <c r="A33" s="28">
        <v>3738</v>
      </c>
      <c r="B33" s="31" t="s">
        <v>58</v>
      </c>
      <c r="C33" s="31">
        <v>101</v>
      </c>
      <c r="D33" s="2" t="s">
        <v>41</v>
      </c>
      <c r="E33" s="2" t="s">
        <v>42</v>
      </c>
      <c r="F33" s="31" t="s">
        <v>37</v>
      </c>
      <c r="G33" s="31">
        <v>1</v>
      </c>
      <c r="H33" s="31">
        <v>2</v>
      </c>
      <c r="I33" s="31">
        <v>2</v>
      </c>
      <c r="J33" s="30">
        <f>SUM(M33,O33,Q33,S33,U33)</f>
        <v>1</v>
      </c>
      <c r="K33" s="19">
        <f>VendorInventory[[#This Row],[Total Qty Received              Do Not Modify]]/VendorInventory[[#This Row],[Total Qty]]</f>
        <v>0.5</v>
      </c>
      <c r="L33"/>
      <c r="M33" s="29">
        <v>1</v>
      </c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3738</v>
      </c>
      <c r="B34" s="31" t="s">
        <v>63</v>
      </c>
      <c r="C34" s="31">
        <v>102</v>
      </c>
      <c r="D34" s="2" t="s">
        <v>41</v>
      </c>
      <c r="E34" s="2" t="s">
        <v>42</v>
      </c>
      <c r="F34" s="31" t="s">
        <v>37</v>
      </c>
      <c r="G34" s="31">
        <v>2</v>
      </c>
      <c r="H34" s="31">
        <v>1</v>
      </c>
      <c r="I34" s="31">
        <v>2</v>
      </c>
      <c r="J34" s="30">
        <f>SUM(M34,O34,Q34,S34,U34)</f>
        <v>1</v>
      </c>
      <c r="K34" s="19">
        <f>VendorInventory[[#This Row],[Total Qty Received              Do Not Modify]]/VendorInventory[[#This Row],[Total Qty]]</f>
        <v>0.5</v>
      </c>
      <c r="L34"/>
      <c r="M34" s="29">
        <v>1</v>
      </c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3738</v>
      </c>
      <c r="B35" s="31" t="s">
        <v>63</v>
      </c>
      <c r="C35" s="31">
        <v>103</v>
      </c>
      <c r="D35" s="2" t="s">
        <v>43</v>
      </c>
      <c r="E35" s="2" t="s">
        <v>44</v>
      </c>
      <c r="F35" s="31" t="s">
        <v>37</v>
      </c>
      <c r="G35" s="31">
        <v>1</v>
      </c>
      <c r="H35" s="31">
        <v>1</v>
      </c>
      <c r="I35" s="31">
        <v>1</v>
      </c>
      <c r="J35" s="30">
        <f>SUM(M35,O35,Q35,S35,U35)</f>
        <v>1</v>
      </c>
      <c r="K35" s="19">
        <f>VendorInventory[[#This Row],[Total Qty Received              Do Not Modify]]/VendorInventory[[#This Row],[Total Qty]]</f>
        <v>1</v>
      </c>
      <c r="L35"/>
      <c r="M35" s="29">
        <v>1</v>
      </c>
      <c r="N35" s="18"/>
      <c r="O35" s="10"/>
      <c r="P35" s="18"/>
      <c r="Q35" s="10"/>
      <c r="R35" s="18"/>
      <c r="S35" s="10"/>
      <c r="T35" s="18"/>
      <c r="U35" s="10"/>
      <c r="V35" s="18"/>
      <c r="X35" s="10"/>
    </row>
    <row r="36" spans="1:24" x14ac:dyDescent="0.25">
      <c r="A36" s="28">
        <v>3738</v>
      </c>
      <c r="B36" s="31" t="s">
        <v>58</v>
      </c>
      <c r="C36" s="31">
        <v>102</v>
      </c>
      <c r="D36" s="2" t="s">
        <v>43</v>
      </c>
      <c r="E36" s="2" t="s">
        <v>44</v>
      </c>
      <c r="F36" s="31" t="s">
        <v>37</v>
      </c>
      <c r="G36" s="31">
        <v>1</v>
      </c>
      <c r="H36" s="31">
        <v>2</v>
      </c>
      <c r="I36" s="31">
        <v>2</v>
      </c>
      <c r="J36" s="30">
        <f>SUM(M36,O36,Q36,S36,U36)</f>
        <v>1</v>
      </c>
      <c r="K36" s="19">
        <f>VendorInventory[[#This Row],[Total Qty Received              Do Not Modify]]/VendorInventory[[#This Row],[Total Qty]]</f>
        <v>0.5</v>
      </c>
      <c r="L36"/>
      <c r="M36" s="10">
        <v>1</v>
      </c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3738</v>
      </c>
      <c r="B37" s="31" t="s">
        <v>63</v>
      </c>
      <c r="C37" s="31">
        <v>100</v>
      </c>
      <c r="D37" s="2" t="s">
        <v>24</v>
      </c>
      <c r="E37" s="2" t="s">
        <v>36</v>
      </c>
      <c r="F37" s="31" t="s">
        <v>37</v>
      </c>
      <c r="G37" s="31">
        <v>1</v>
      </c>
      <c r="H37" s="31">
        <v>1</v>
      </c>
      <c r="I37" s="31">
        <v>1</v>
      </c>
      <c r="J37" s="30">
        <f>SUM(M37,O37,Q37,S37,U37)</f>
        <v>1</v>
      </c>
      <c r="K37" s="19">
        <f>VendorInventory[[#This Row],[Total Qty Received              Do Not Modify]]/VendorInventory[[#This Row],[Total Qty]]</f>
        <v>1</v>
      </c>
      <c r="L37"/>
      <c r="M37" s="10">
        <v>1</v>
      </c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3738</v>
      </c>
      <c r="B38" s="31" t="s">
        <v>58</v>
      </c>
      <c r="C38" s="31">
        <v>100</v>
      </c>
      <c r="D38" s="2" t="s">
        <v>24</v>
      </c>
      <c r="E38" s="2" t="s">
        <v>36</v>
      </c>
      <c r="F38" s="31" t="s">
        <v>37</v>
      </c>
      <c r="G38" s="31">
        <v>1</v>
      </c>
      <c r="H38" s="31">
        <v>2</v>
      </c>
      <c r="I38" s="31">
        <v>2</v>
      </c>
      <c r="J38" s="30">
        <f>SUM(M38,O38,Q38,S38,U38)</f>
        <v>1</v>
      </c>
      <c r="K38" s="19">
        <f>VendorInventory[[#This Row],[Total Qty Received              Do Not Modify]]/VendorInventory[[#This Row],[Total Qty]]</f>
        <v>0.5</v>
      </c>
      <c r="L38"/>
      <c r="M38" s="10">
        <v>1</v>
      </c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3738</v>
      </c>
      <c r="B39" s="31" t="s">
        <v>63</v>
      </c>
      <c r="C39" s="31">
        <v>101</v>
      </c>
      <c r="D39" s="2" t="s">
        <v>25</v>
      </c>
      <c r="E39" s="2" t="s">
        <v>40</v>
      </c>
      <c r="F39" s="31" t="s">
        <v>37</v>
      </c>
      <c r="G39" s="31">
        <v>2</v>
      </c>
      <c r="H39" s="31">
        <v>1</v>
      </c>
      <c r="I39" s="31">
        <v>2</v>
      </c>
      <c r="J39" s="31">
        <f>SUM(M39,O39,Q39,S39,U39)</f>
        <v>1</v>
      </c>
      <c r="K39" s="19">
        <f>VendorInventory[[#This Row],[Total Qty Received              Do Not Modify]]/VendorInventory[[#This Row],[Total Qty]]</f>
        <v>0.5</v>
      </c>
      <c r="L39"/>
      <c r="M39" s="34">
        <v>1</v>
      </c>
      <c r="N39" s="32"/>
      <c r="O39" s="34"/>
      <c r="P39" s="32"/>
      <c r="Q39" s="34"/>
      <c r="R39" s="32"/>
      <c r="S39" s="34"/>
      <c r="T39" s="32"/>
      <c r="U39" s="34"/>
      <c r="V39" s="32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summarizeBtn">
          <controlPr defaultSize="0" autoLine="0" r:id="rId5">
            <anchor moveWithCells="1" sizeWithCells="1">
              <from>
                <xdr:col>3</xdr:col>
                <xdr:colOff>942975</xdr:colOff>
                <xdr:row>1</xdr:row>
                <xdr:rowOff>152400</xdr:rowOff>
              </from>
              <to>
                <xdr:col>4</xdr:col>
                <xdr:colOff>9525</xdr:colOff>
                <xdr:row>2</xdr:row>
                <xdr:rowOff>266700</xdr:rowOff>
              </to>
            </anchor>
          </controlPr>
        </control>
      </mc:Choice>
      <mc:Fallback>
        <control shapeId="3073" r:id="rId4" name="summarizeBtn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workbookViewId="0">
      <selection activeCell="H27" sqref="H27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49">
        <v>3737</v>
      </c>
      <c r="E1" s="52"/>
      <c r="F1" s="52"/>
      <c r="G1" s="52"/>
      <c r="H1" s="52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PowerSummary</vt:lpstr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2020-08-04T00:37:10Z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