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ms03\git\vba-lib\CP_Sched\"/>
    </mc:Choice>
  </mc:AlternateContent>
  <xr:revisionPtr revIDLastSave="0" documentId="13_ncr:1_{A4E746FE-F03C-477F-AD32-52C5C20EB015}" xr6:coauthVersionLast="45" xr6:coauthVersionMax="45" xr10:uidLastSave="{00000000-0000-0000-0000-000000000000}"/>
  <bookViews>
    <workbookView xWindow="-120" yWindow="-120" windowWidth="29040" windowHeight="15840" activeTab="1" xr2:uid="{73259029-2848-4C8A-ABD7-1368A1865A41}"/>
  </bookViews>
  <sheets>
    <sheet name="Inventory" sheetId="1" r:id="rId1"/>
    <sheet name="Summary" sheetId="5" r:id="rId2"/>
    <sheet name="Totals" sheetId="2" r:id="rId3"/>
  </sheets>
  <definedNames>
    <definedName name="ExternalData_1" localSheetId="1" hidden="1">Summary!$A$5:$H$24</definedName>
  </definedNames>
  <calcPr calcId="191029"/>
  <pivotCaches>
    <pivotCache cacheId="2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" i="1" l="1"/>
  <c r="K8" i="1" s="1"/>
  <c r="J23" i="1" l="1"/>
  <c r="K23" i="1" s="1"/>
  <c r="J22" i="1"/>
  <c r="K22" i="1" s="1"/>
  <c r="J17" i="1"/>
  <c r="K17" i="1" s="1"/>
  <c r="J19" i="1"/>
  <c r="K19" i="1" s="1"/>
  <c r="J15" i="1"/>
  <c r="K15" i="1" s="1"/>
  <c r="J13" i="1"/>
  <c r="K13" i="1" s="1"/>
  <c r="J10" i="1"/>
  <c r="K10" i="1" s="1"/>
  <c r="J7" i="1"/>
  <c r="K7" i="1" s="1"/>
  <c r="J26" i="1"/>
  <c r="K26" i="1" s="1"/>
  <c r="J29" i="1"/>
  <c r="K29" i="1" s="1"/>
  <c r="J21" i="1"/>
  <c r="K21" i="1" s="1"/>
  <c r="J16" i="1"/>
  <c r="K16" i="1" s="1"/>
  <c r="J18" i="1"/>
  <c r="K18" i="1" s="1"/>
  <c r="J14" i="1"/>
  <c r="K14" i="1" s="1"/>
  <c r="J12" i="1"/>
  <c r="K12" i="1" s="1"/>
  <c r="J9" i="1"/>
  <c r="K9" i="1" s="1"/>
  <c r="J6" i="1"/>
  <c r="K6" i="1" s="1"/>
  <c r="J24" i="1"/>
  <c r="K24" i="1" s="1"/>
  <c r="J27" i="1"/>
  <c r="K27" i="1" s="1"/>
  <c r="J38" i="1"/>
  <c r="K38" i="1" s="1"/>
  <c r="J33" i="1"/>
  <c r="K33" i="1" s="1"/>
  <c r="J36" i="1"/>
  <c r="K36" i="1" s="1"/>
  <c r="J31" i="1"/>
  <c r="K31" i="1" s="1"/>
  <c r="J37" i="1"/>
  <c r="K37" i="1" s="1"/>
  <c r="J39" i="1"/>
  <c r="K39" i="1" s="1"/>
  <c r="J34" i="1"/>
  <c r="K34" i="1" s="1"/>
  <c r="J35" i="1"/>
  <c r="K35" i="1" s="1"/>
  <c r="J32" i="1"/>
  <c r="K32" i="1" s="1"/>
  <c r="J30" i="1"/>
  <c r="K30" i="1" s="1"/>
  <c r="J11" i="1"/>
  <c r="K11" i="1" s="1"/>
  <c r="J25" i="1"/>
  <c r="K25" i="1" s="1"/>
  <c r="J28" i="1"/>
  <c r="K28" i="1" s="1"/>
  <c r="J20" i="1" l="1"/>
  <c r="K20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9302D1C-0AED-4E76-A6B4-B8A39812D817}" keepAlive="1" name="Query - PowerSummary" description="Connection to the 'PowerSummary' query in the workbook." type="5" refreshedVersion="6" background="1" saveData="1">
    <dbPr connection="Provider=Microsoft.Mashup.OleDb.1;Data Source=$Workbook$;Location=PowerSummary;Extended Properties=&quot;&quot;" command="SELECT * FROM [PowerSummary]"/>
  </connection>
</connections>
</file>

<file path=xl/sharedStrings.xml><?xml version="1.0" encoding="utf-8"?>
<sst xmlns="http://schemas.openxmlformats.org/spreadsheetml/2006/main" count="300" uniqueCount="76">
  <si>
    <t>PHASE:</t>
  </si>
  <si>
    <t>PROJECT:</t>
  </si>
  <si>
    <t xml:space="preserve"> Panel Vendor Inventory Sheet</t>
  </si>
  <si>
    <t xml:space="preserve">Vendor: </t>
  </si>
  <si>
    <t>Issue Date:</t>
  </si>
  <si>
    <t>Panel ID</t>
  </si>
  <si>
    <t>BOM Item #</t>
  </si>
  <si>
    <t>Part #</t>
  </si>
  <si>
    <t>Part Description</t>
  </si>
  <si>
    <t>Manufacturer</t>
  </si>
  <si>
    <t>Qty Per</t>
  </si>
  <si>
    <t>Panel Qty</t>
  </si>
  <si>
    <t>Total Qty</t>
  </si>
  <si>
    <t>Qty Received 1</t>
  </si>
  <si>
    <t>Date Received 1</t>
  </si>
  <si>
    <t>Qty Received 2</t>
  </si>
  <si>
    <t>Date Received 2</t>
  </si>
  <si>
    <t>Qty Received 3</t>
  </si>
  <si>
    <t>Date Received 3</t>
  </si>
  <si>
    <t>Qty Received 4</t>
  </si>
  <si>
    <t>Date Received 4</t>
  </si>
  <si>
    <t>Qty Received 5</t>
  </si>
  <si>
    <t>Date Received 5</t>
  </si>
  <si>
    <t>Vendor Notes</t>
  </si>
  <si>
    <t>PDIDS-HC10-00</t>
  </si>
  <si>
    <t>PS-2ADP04WCDX</t>
  </si>
  <si>
    <r>
      <t xml:space="preserve">Total Qty Received              </t>
    </r>
    <r>
      <rPr>
        <b/>
        <sz val="12"/>
        <color rgb="FFFF0000"/>
        <rFont val="Calibri"/>
        <family val="2"/>
        <scheme val="minor"/>
      </rPr>
      <t>Do Not Modify</t>
    </r>
  </si>
  <si>
    <t>Percent Received</t>
  </si>
  <si>
    <t>PO #</t>
  </si>
  <si>
    <t>Parts</t>
  </si>
  <si>
    <t>Total Qty Received</t>
  </si>
  <si>
    <t>Total Qty Ordered</t>
  </si>
  <si>
    <t>Date Issued to Panel Vendor</t>
  </si>
  <si>
    <t>DCES Project #</t>
  </si>
  <si>
    <t>Panel Vendor</t>
  </si>
  <si>
    <t>AWS_CP_056</t>
  </si>
  <si>
    <t>TOUCHSCREEN HORIZON -CIO</t>
  </si>
  <si>
    <t>DISTECH</t>
  </si>
  <si>
    <t>PS-2ADP12WCDX</t>
  </si>
  <si>
    <t>DIFFERENTIAL PRESSURE HP</t>
  </si>
  <si>
    <t>DIFFERENTIAL PRESSURE LP</t>
  </si>
  <si>
    <t>CDIY-PS24-00</t>
  </si>
  <si>
    <t>ECLYPSE POWER SUPPLY</t>
  </si>
  <si>
    <t>CDIY-S1000ENVY-00</t>
  </si>
  <si>
    <t>ECLYPSE CONTROLLER</t>
  </si>
  <si>
    <t>CDIY-8UI6UOHOA-00</t>
  </si>
  <si>
    <t>ECLYPSE EXPANSION MODULE, 8 INPUTS, 6 OUPUTS</t>
  </si>
  <si>
    <t>CDIY-8UI-00</t>
  </si>
  <si>
    <t>ECLYPSE EXPANSION MODULE, 8 INPUTS</t>
  </si>
  <si>
    <t>CDIDI-BOS8NOWIFI</t>
  </si>
  <si>
    <t>EC-BOS-8 CONTROLLER WITH DISABLED WIFI</t>
  </si>
  <si>
    <t>07CBL-ECLYPSE6HD1590</t>
  </si>
  <si>
    <t>INTERCONNECT CABLE</t>
  </si>
  <si>
    <t>SDITR-NC-8100</t>
  </si>
  <si>
    <t>EC-BOS-8 CORE - 100 DEVICES/5000 POINTS</t>
  </si>
  <si>
    <t>SDITR-SMA-BOS8100-3YR</t>
  </si>
  <si>
    <t>EC-BOS-8 (100 DEVICE CORE) 3 YEAR SMA</t>
  </si>
  <si>
    <t>AWS_CP_061</t>
  </si>
  <si>
    <t>AWS_CP_005</t>
  </si>
  <si>
    <t>SDITR-NC-8025</t>
  </si>
  <si>
    <t>EC-BOS-8 CORE - 25 DEVICES/1250 POINTS</t>
  </si>
  <si>
    <t>SDITR-SMA-BOS8025-3YR</t>
  </si>
  <si>
    <t>EC-BOS-8 (25 DEVICE CORE) 3 YEAR SMA</t>
  </si>
  <si>
    <t>AWS_CP_065</t>
  </si>
  <si>
    <t>Inventory Summary Sheet</t>
  </si>
  <si>
    <t>Qty Received</t>
  </si>
  <si>
    <t>3737</t>
  </si>
  <si>
    <t/>
  </si>
  <si>
    <t>3738</t>
  </si>
  <si>
    <t>ok</t>
  </si>
  <si>
    <t>great</t>
  </si>
  <si>
    <t>super great!</t>
  </si>
  <si>
    <t>ok , great , super great!</t>
  </si>
  <si>
    <t>Received in Site-line</t>
  </si>
  <si>
    <t>Date Received in Site-line</t>
  </si>
  <si>
    <t>Difference in parts received = (f - j)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</si>
</sst>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80"/>
      <name val="Calibri"/>
      <family val="2"/>
    </font>
    <font>
      <sz val="8"/>
      <name val="Calibri"/>
      <family val="2"/>
      <scheme val="minor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-0.249977111117893"/>
        <bgColor theme="8"/>
      </patternFill>
    </fill>
    <fill>
      <patternFill patternType="solid">
        <fgColor theme="4" tint="-0.499984740745262"/>
        <bgColor theme="8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59">
    <xf numFmtId="0" fontId="0" fillId="0" borderId="0" xfId="0"/>
    <xf numFmtId="0" fontId="5" fillId="0" borderId="0" xfId="3" applyFont="1" applyAlignment="1">
      <alignment horizontal="right"/>
    </xf>
    <xf numFmtId="0" fontId="0" fillId="0" borderId="0" xfId="0" applyAlignment="1">
      <alignment horizontal="left"/>
    </xf>
    <xf numFmtId="0" fontId="5" fillId="0" borderId="0" xfId="3" applyFont="1" applyAlignment="1">
      <alignment horizontal="center"/>
    </xf>
    <xf numFmtId="49" fontId="5" fillId="0" borderId="0" xfId="3" quotePrefix="1" applyNumberFormat="1" applyFont="1" applyAlignment="1">
      <alignment horizontal="center"/>
    </xf>
    <xf numFmtId="14" fontId="5" fillId="0" borderId="0" xfId="3" quotePrefix="1" applyNumberFormat="1" applyFont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3" borderId="6" xfId="0" applyFont="1" applyFill="1" applyBorder="1" applyAlignment="1">
      <alignment horizontal="center" wrapText="1"/>
    </xf>
    <xf numFmtId="14" fontId="8" fillId="3" borderId="6" xfId="0" applyNumberFormat="1" applyFont="1" applyFill="1" applyBorder="1" applyAlignment="1">
      <alignment horizontal="center" wrapText="1"/>
    </xf>
    <xf numFmtId="14" fontId="8" fillId="3" borderId="7" xfId="0" applyNumberFormat="1" applyFont="1" applyFill="1" applyBorder="1" applyAlignment="1">
      <alignment horizont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wrapText="1"/>
    </xf>
    <xf numFmtId="14" fontId="6" fillId="5" borderId="6" xfId="0" applyNumberFormat="1" applyFont="1" applyFill="1" applyBorder="1" applyAlignment="1">
      <alignment horizontal="center" wrapText="1"/>
    </xf>
    <xf numFmtId="0" fontId="6" fillId="5" borderId="6" xfId="0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9" fontId="6" fillId="4" borderId="0" xfId="1" applyFont="1" applyFill="1" applyBorder="1" applyAlignment="1">
      <alignment horizontal="center" wrapText="1"/>
    </xf>
    <xf numFmtId="0" fontId="9" fillId="0" borderId="0" xfId="2" applyFont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0" borderId="0" xfId="2" applyNumberFormat="1" applyFont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0" borderId="0" xfId="2" applyFont="1" applyBorder="1" applyAlignment="1">
      <alignment horizontal="left"/>
    </xf>
    <xf numFmtId="9" fontId="0" fillId="0" borderId="0" xfId="0" applyNumberFormat="1"/>
    <xf numFmtId="0" fontId="0" fillId="0" borderId="0" xfId="0" applyAlignment="1">
      <alignment horizontal="center"/>
    </xf>
    <xf numFmtId="0" fontId="14" fillId="0" borderId="0" xfId="0" applyFont="1" applyAlignment="1">
      <alignment horizontal="center" vertical="center"/>
    </xf>
    <xf numFmtId="0" fontId="14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center" vertical="center"/>
    </xf>
    <xf numFmtId="9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9" fontId="15" fillId="0" borderId="0" xfId="0" applyNumberFormat="1" applyFont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0" xfId="1" applyNumberFormat="1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9" fontId="5" fillId="0" borderId="0" xfId="3" applyNumberFormat="1" applyFont="1" applyAlignment="1">
      <alignment horizontal="center"/>
    </xf>
    <xf numFmtId="9" fontId="5" fillId="0" borderId="0" xfId="3" quotePrefix="1" applyNumberFormat="1" applyFont="1" applyAlignment="1">
      <alignment horizontal="center"/>
    </xf>
    <xf numFmtId="0" fontId="0" fillId="0" borderId="0" xfId="0" applyAlignment="1">
      <alignment horizontal="center"/>
    </xf>
    <xf numFmtId="0" fontId="9" fillId="0" borderId="0" xfId="2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Heading 1" xfId="2" builtinId="16"/>
    <cellStyle name="Heading 4" xfId="3" builtinId="19"/>
    <cellStyle name="Normal" xfId="0" builtinId="0"/>
    <cellStyle name="Percent" xfId="1" builtinId="5"/>
  </cellStyles>
  <dxfs count="30"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F18A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1933575</xdr:colOff>
          <xdr:row>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38100</xdr:rowOff>
        </xdr:from>
        <xdr:to>
          <xdr:col>3</xdr:col>
          <xdr:colOff>1533525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molinski, Victor" refreshedDate="44047.602096875002" createdVersion="6" refreshedVersion="6" minRefreshableVersion="3" recordCount="34" xr:uid="{B47C6817-5AC0-43F8-87E7-AB9426D127C3}">
  <cacheSource type="worksheet">
    <worksheetSource name="VendorInventory"/>
  </cacheSource>
  <cacheFields count="22">
    <cacheField name="PO #" numFmtId="0">
      <sharedItems containsSemiMixedTypes="0" containsString="0" containsNumber="1" containsInteger="1" minValue="2222" maxValue="8598" count="11">
        <n v="3737"/>
        <n v="3738"/>
        <n v="3771" u="1"/>
        <n v="3099" u="1"/>
        <n v="8033" u="1"/>
        <n v="8598" u="1"/>
        <n v="7089" u="1"/>
        <n v="3077" u="1"/>
        <n v="2222" u="1"/>
        <n v="3770" u="1"/>
        <n v="3089" u="1"/>
      </sharedItems>
    </cacheField>
    <cacheField name="Panel ID" numFmtId="0">
      <sharedItems/>
    </cacheField>
    <cacheField name="BOM Item #" numFmtId="0">
      <sharedItems containsSemiMixedTypes="0" containsString="0" containsNumber="1" containsInteger="1" minValue="100" maxValue="110"/>
    </cacheField>
    <cacheField name="Part #" numFmtId="0">
      <sharedItems count="15">
        <s v="07CBL-ECLYPSE6HD1590"/>
        <s v="CDIDI-BOS8NOWIFI"/>
        <s v="CDIY-8UI-00"/>
        <s v="CDIY-8UI6UOHOA-00"/>
        <s v="CDIY-PS24-00"/>
        <s v="CDIY-S1000ENVY-00"/>
        <s v="PDIDS-HC10-00"/>
        <s v="PS-2ADP04WCDX"/>
        <s v="PS-2ADP12WCDX"/>
        <s v="SDITR-NC-8025"/>
        <s v="SDITR-NC-8100"/>
        <s v="SDITR-SMA-BOS8025-3YR"/>
        <s v="SDITR-SMA-BOS8100-3YR"/>
        <s v="RE-12DC-SPDT " u="1"/>
        <s v="RE-RT78724" u="1"/>
      </sharedItems>
    </cacheField>
    <cacheField name="Part Description" numFmtId="0">
      <sharedItems/>
    </cacheField>
    <cacheField name="Manufacturer" numFmtId="0">
      <sharedItems/>
    </cacheField>
    <cacheField name="Qty Per" numFmtId="0">
      <sharedItems containsSemiMixedTypes="0" containsString="0" containsNumber="1" containsInteger="1" minValue="1" maxValue="16"/>
    </cacheField>
    <cacheField name="Panel Qty" numFmtId="0">
      <sharedItems containsSemiMixedTypes="0" containsString="0" containsNumber="1" containsInteger="1" minValue="1" maxValue="2"/>
    </cacheField>
    <cacheField name="Total Qty" numFmtId="0">
      <sharedItems containsSemiMixedTypes="0" containsString="0" containsNumber="1" containsInteger="1" minValue="1" maxValue="16"/>
    </cacheField>
    <cacheField name="Total Qty Received              Do Not Modify" numFmtId="0">
      <sharedItems containsSemiMixedTypes="0" containsString="0" containsNumber="1" containsInteger="1" minValue="0" maxValue="3"/>
    </cacheField>
    <cacheField name="Percent Received" numFmtId="9">
      <sharedItems containsSemiMixedTypes="0" containsString="0" containsNumber="1" minValue="0" maxValue="1"/>
    </cacheField>
    <cacheField name="Vendor Notes" numFmtId="0">
      <sharedItems containsBlank="1"/>
    </cacheField>
    <cacheField name="Qty Received 1" numFmtId="0">
      <sharedItems containsString="0" containsBlank="1" containsNumber="1" containsInteger="1" minValue="1" maxValue="3"/>
    </cacheField>
    <cacheField name="Date Received 1" numFmtId="14">
      <sharedItems containsNonDate="0" containsString="0" containsBlank="1"/>
    </cacheField>
    <cacheField name="Qty Received 2" numFmtId="0">
      <sharedItems containsNonDate="0" containsString="0" containsBlank="1"/>
    </cacheField>
    <cacheField name="Date Received 2" numFmtId="14">
      <sharedItems containsNonDate="0" containsString="0" containsBlank="1"/>
    </cacheField>
    <cacheField name="Qty Received 3" numFmtId="0">
      <sharedItems containsNonDate="0" containsString="0" containsBlank="1"/>
    </cacheField>
    <cacheField name="Date Received 3" numFmtId="14">
      <sharedItems containsNonDate="0" containsString="0" containsBlank="1"/>
    </cacheField>
    <cacheField name="Qty Received 4" numFmtId="0">
      <sharedItems containsNonDate="0" containsString="0" containsBlank="1"/>
    </cacheField>
    <cacheField name="Date Received 4" numFmtId="14">
      <sharedItems containsNonDate="0" containsString="0" containsBlank="1"/>
    </cacheField>
    <cacheField name="Qty Received 5" numFmtId="0">
      <sharedItems containsNonDate="0" containsString="0" containsBlank="1"/>
    </cacheField>
    <cacheField name="Date Received 5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s v="AWS_CP_061"/>
    <n v="106"/>
    <x v="0"/>
    <s v="INTERCONNECT CABLE"/>
    <s v="DISTECH"/>
    <n v="1"/>
    <n v="1"/>
    <n v="1"/>
    <n v="1"/>
    <n v="1"/>
    <s v="ok"/>
    <n v="1"/>
    <m/>
    <m/>
    <m/>
    <m/>
    <m/>
    <m/>
    <m/>
    <m/>
    <m/>
  </r>
  <r>
    <x v="0"/>
    <s v="AWS_CP_056"/>
    <n v="108"/>
    <x v="0"/>
    <s v="INTERCONNECT CABLE"/>
    <s v="DISTECH"/>
    <n v="2"/>
    <n v="1"/>
    <n v="2"/>
    <n v="0"/>
    <n v="0"/>
    <s v="great"/>
    <m/>
    <m/>
    <m/>
    <m/>
    <m/>
    <m/>
    <m/>
    <m/>
    <m/>
    <m/>
  </r>
  <r>
    <x v="0"/>
    <s v="AWS_CP_065"/>
    <n v="109"/>
    <x v="0"/>
    <s v="INTERCONNECT CABLE"/>
    <s v="DISTECH"/>
    <n v="1"/>
    <n v="1"/>
    <n v="1"/>
    <n v="0"/>
    <n v="0"/>
    <s v="super great!"/>
    <m/>
    <m/>
    <m/>
    <m/>
    <m/>
    <m/>
    <m/>
    <m/>
    <m/>
    <m/>
  </r>
  <r>
    <x v="0"/>
    <s v="AWS_CP_061"/>
    <n v="105"/>
    <x v="1"/>
    <s v="EC-BOS-8 CONTROLLER WITH DISABLED WIFI"/>
    <s v="DISTECH"/>
    <n v="1"/>
    <n v="1"/>
    <n v="1"/>
    <n v="1"/>
    <n v="1"/>
    <m/>
    <n v="1"/>
    <m/>
    <m/>
    <m/>
    <m/>
    <m/>
    <m/>
    <m/>
    <m/>
    <m/>
  </r>
  <r>
    <x v="0"/>
    <s v="AWS_CP_056"/>
    <n v="107"/>
    <x v="1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65"/>
    <n v="106"/>
    <x v="1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61"/>
    <n v="104"/>
    <x v="2"/>
    <s v="ECLYPSE EXPANSION MODULE, 8 INPUTS"/>
    <s v="DISTECH"/>
    <n v="2"/>
    <n v="1"/>
    <n v="2"/>
    <n v="1"/>
    <n v="0.5"/>
    <m/>
    <n v="1"/>
    <m/>
    <m/>
    <m/>
    <m/>
    <m/>
    <m/>
    <m/>
    <m/>
    <m/>
  </r>
  <r>
    <x v="0"/>
    <s v="AWS_CP_056"/>
    <n v="106"/>
    <x v="2"/>
    <s v="ECLYPSE EXPANSION MODULE, 8 INPUTS"/>
    <s v="DISTECH"/>
    <n v="1"/>
    <n v="1"/>
    <n v="1"/>
    <n v="0"/>
    <n v="0"/>
    <m/>
    <m/>
    <m/>
    <m/>
    <m/>
    <m/>
    <m/>
    <m/>
    <m/>
    <m/>
    <m/>
  </r>
  <r>
    <x v="0"/>
    <s v="AWS_CP_061"/>
    <n v="103"/>
    <x v="3"/>
    <s v="ECLYPSE EXPANSION MODULE, 8 INPUTS, 6 OUPUTS"/>
    <s v="DISTECH"/>
    <n v="5"/>
    <n v="1"/>
    <n v="5"/>
    <n v="1"/>
    <n v="0.2"/>
    <m/>
    <n v="1"/>
    <m/>
    <m/>
    <m/>
    <m/>
    <m/>
    <m/>
    <m/>
    <m/>
    <m/>
  </r>
  <r>
    <x v="0"/>
    <s v="AWS_CP_056"/>
    <n v="105"/>
    <x v="3"/>
    <s v="ECLYPSE EXPANSION MODULE, 8 INPUTS, 6 OUPUTS"/>
    <s v="DISTECH"/>
    <n v="16"/>
    <n v="1"/>
    <n v="16"/>
    <n v="0"/>
    <n v="0"/>
    <m/>
    <m/>
    <m/>
    <m/>
    <m/>
    <m/>
    <m/>
    <m/>
    <m/>
    <m/>
    <m/>
  </r>
  <r>
    <x v="0"/>
    <s v="AWS_CP_061"/>
    <n v="101"/>
    <x v="4"/>
    <s v="ECLYPSE POWER SUPPLY"/>
    <s v="DISTECH"/>
    <n v="2"/>
    <n v="1"/>
    <n v="2"/>
    <n v="1"/>
    <n v="0.5"/>
    <m/>
    <n v="1"/>
    <m/>
    <m/>
    <m/>
    <m/>
    <m/>
    <m/>
    <m/>
    <m/>
    <m/>
  </r>
  <r>
    <x v="0"/>
    <s v="AWS_CP_056"/>
    <n v="103"/>
    <x v="4"/>
    <s v="ECLYPSE POWER SUPPLY"/>
    <s v="DISTECH"/>
    <n v="5"/>
    <n v="1"/>
    <n v="5"/>
    <n v="0"/>
    <n v="0"/>
    <m/>
    <m/>
    <m/>
    <m/>
    <m/>
    <m/>
    <m/>
    <m/>
    <m/>
    <m/>
    <m/>
  </r>
  <r>
    <x v="0"/>
    <s v="AWS_CP_061"/>
    <n v="102"/>
    <x v="5"/>
    <s v="ECLYPSE CONTROLLER"/>
    <s v="DISTECH"/>
    <n v="1"/>
    <n v="1"/>
    <n v="1"/>
    <n v="1"/>
    <n v="1"/>
    <m/>
    <n v="1"/>
    <m/>
    <m/>
    <m/>
    <m/>
    <m/>
    <m/>
    <m/>
    <m/>
    <m/>
  </r>
  <r>
    <x v="0"/>
    <s v="AWS_CP_056"/>
    <n v="104"/>
    <x v="5"/>
    <s v="ECLYPSE CONTROLLER"/>
    <s v="DISTECH"/>
    <n v="1"/>
    <n v="1"/>
    <n v="1"/>
    <n v="0"/>
    <n v="0"/>
    <m/>
    <m/>
    <m/>
    <m/>
    <m/>
    <m/>
    <m/>
    <m/>
    <m/>
    <m/>
    <m/>
  </r>
  <r>
    <x v="0"/>
    <s v="AWS_CP_056"/>
    <n v="100"/>
    <x v="6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61"/>
    <n v="100"/>
    <x v="6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56"/>
    <n v="102"/>
    <x v="7"/>
    <s v="DIFFERENTIAL PRESSURE LP"/>
    <s v="DISTECH"/>
    <n v="4"/>
    <n v="1"/>
    <n v="4"/>
    <n v="3"/>
    <n v="0.75"/>
    <m/>
    <n v="3"/>
    <m/>
    <m/>
    <m/>
    <m/>
    <m/>
    <m/>
    <m/>
    <m/>
    <m/>
  </r>
  <r>
    <x v="0"/>
    <s v="AWS_CP_056"/>
    <n v="101"/>
    <x v="8"/>
    <s v="DIFFERENTIAL PRESSURE HP"/>
    <s v="DISTECH"/>
    <n v="3"/>
    <n v="1"/>
    <n v="3"/>
    <n v="2"/>
    <n v="0.66666666666666663"/>
    <m/>
    <n v="2"/>
    <m/>
    <m/>
    <m/>
    <m/>
    <m/>
    <m/>
    <m/>
    <m/>
    <m/>
  </r>
  <r>
    <x v="0"/>
    <s v="AWS_CP_061"/>
    <n v="107"/>
    <x v="9"/>
    <s v="EC-BOS-8 CORE - 25 DEVICES/1250 POINTS"/>
    <s v="DISTECH"/>
    <n v="1"/>
    <n v="1"/>
    <n v="1"/>
    <n v="1"/>
    <n v="1"/>
    <m/>
    <n v="1"/>
    <m/>
    <m/>
    <m/>
    <m/>
    <m/>
    <m/>
    <m/>
    <m/>
    <m/>
  </r>
  <r>
    <x v="0"/>
    <s v="AWS_CP_065"/>
    <n v="107"/>
    <x v="9"/>
    <s v="EC-BOS-8 CORE - 25 DEVICES/1250 POINTS"/>
    <s v="DISTECH"/>
    <n v="1"/>
    <n v="1"/>
    <n v="1"/>
    <n v="0"/>
    <n v="0"/>
    <m/>
    <m/>
    <m/>
    <m/>
    <m/>
    <m/>
    <m/>
    <m/>
    <m/>
    <m/>
    <m/>
  </r>
  <r>
    <x v="0"/>
    <s v="AWS_CP_056"/>
    <n v="109"/>
    <x v="10"/>
    <s v="EC-BOS-8 CORE - 100 DEVICES/5000 POINTS"/>
    <s v="DISTECH"/>
    <n v="1"/>
    <n v="1"/>
    <n v="1"/>
    <n v="0"/>
    <n v="0"/>
    <m/>
    <m/>
    <m/>
    <m/>
    <m/>
    <m/>
    <m/>
    <m/>
    <m/>
    <m/>
    <m/>
  </r>
  <r>
    <x v="0"/>
    <s v="AWS_CP_061"/>
    <n v="108"/>
    <x v="11"/>
    <s v="EC-BOS-8 (25 DEVICE CORE) 3 YEAR SMA"/>
    <s v="DISTECH"/>
    <n v="1"/>
    <n v="1"/>
    <n v="1"/>
    <n v="1"/>
    <n v="1"/>
    <m/>
    <n v="1"/>
    <m/>
    <m/>
    <m/>
    <m/>
    <m/>
    <m/>
    <m/>
    <m/>
    <m/>
  </r>
  <r>
    <x v="0"/>
    <s v="AWS_CP_065"/>
    <n v="108"/>
    <x v="11"/>
    <s v="EC-BOS-8 (25 DEVICE CORE) 3 YEAR SMA"/>
    <s v="DISTECH"/>
    <n v="1"/>
    <n v="1"/>
    <n v="1"/>
    <n v="0"/>
    <n v="0"/>
    <m/>
    <m/>
    <m/>
    <m/>
    <m/>
    <m/>
    <m/>
    <m/>
    <m/>
    <m/>
    <m/>
  </r>
  <r>
    <x v="0"/>
    <s v="AWS_CP_056"/>
    <n v="110"/>
    <x v="12"/>
    <s v="EC-BOS-8 (100 DEVICE CORE) 3 YEAR SMA"/>
    <s v="DISTECH"/>
    <n v="1"/>
    <n v="1"/>
    <n v="1"/>
    <n v="1"/>
    <n v="1"/>
    <m/>
    <n v="1"/>
    <m/>
    <m/>
    <m/>
    <m/>
    <m/>
    <m/>
    <m/>
    <m/>
    <m/>
  </r>
  <r>
    <x v="1"/>
    <s v="AWS_CP_065"/>
    <n v="105"/>
    <x v="2"/>
    <s v="ECLYPSE EXPANSION MODULE, 8 INPUTS"/>
    <s v="DISTECH"/>
    <n v="2"/>
    <n v="1"/>
    <n v="2"/>
    <n v="0"/>
    <n v="0"/>
    <m/>
    <m/>
    <m/>
    <m/>
    <m/>
    <m/>
    <m/>
    <m/>
    <m/>
    <m/>
    <m/>
  </r>
  <r>
    <x v="1"/>
    <s v="AWS_CP_005"/>
    <n v="103"/>
    <x v="3"/>
    <s v="ECLYPSE EXPANSION MODULE, 8 INPUTS, 6 OUPUTS"/>
    <s v="DISTECH"/>
    <n v="8"/>
    <n v="2"/>
    <n v="16"/>
    <n v="1"/>
    <n v="6.25E-2"/>
    <m/>
    <n v="1"/>
    <m/>
    <m/>
    <m/>
    <m/>
    <m/>
    <m/>
    <m/>
    <m/>
    <m/>
  </r>
  <r>
    <x v="1"/>
    <s v="AWS_CP_065"/>
    <n v="104"/>
    <x v="3"/>
    <s v="ECLYPSE EXPANSION MODULE, 8 INPUTS, 6 OUPUTS"/>
    <s v="DISTECH"/>
    <n v="4"/>
    <n v="1"/>
    <n v="4"/>
    <n v="0"/>
    <n v="0"/>
    <m/>
    <m/>
    <m/>
    <m/>
    <m/>
    <m/>
    <m/>
    <m/>
    <m/>
    <m/>
    <m/>
  </r>
  <r>
    <x v="1"/>
    <s v="AWS_CP_005"/>
    <n v="101"/>
    <x v="4"/>
    <s v="ECLYPSE POWER SUPPLY"/>
    <s v="DISTECH"/>
    <n v="1"/>
    <n v="2"/>
    <n v="2"/>
    <n v="1"/>
    <n v="0.5"/>
    <m/>
    <n v="1"/>
    <m/>
    <m/>
    <m/>
    <m/>
    <m/>
    <m/>
    <m/>
    <m/>
    <m/>
  </r>
  <r>
    <x v="1"/>
    <s v="AWS_CP_065"/>
    <n v="102"/>
    <x v="4"/>
    <s v="ECLYPSE POWER SUPPLY"/>
    <s v="DISTECH"/>
    <n v="2"/>
    <n v="1"/>
    <n v="2"/>
    <n v="1"/>
    <n v="0.5"/>
    <m/>
    <n v="1"/>
    <m/>
    <m/>
    <m/>
    <m/>
    <m/>
    <m/>
    <m/>
    <m/>
    <m/>
  </r>
  <r>
    <x v="1"/>
    <s v="AWS_CP_065"/>
    <n v="103"/>
    <x v="5"/>
    <s v="ECLYPSE CONTROLLER"/>
    <s v="DISTECH"/>
    <n v="1"/>
    <n v="1"/>
    <n v="1"/>
    <n v="1"/>
    <n v="1"/>
    <m/>
    <n v="1"/>
    <m/>
    <m/>
    <m/>
    <m/>
    <m/>
    <m/>
    <m/>
    <m/>
    <m/>
  </r>
  <r>
    <x v="1"/>
    <s v="AWS_CP_005"/>
    <n v="102"/>
    <x v="5"/>
    <s v="ECLYPSE CONTROLLER"/>
    <s v="DISTECH"/>
    <n v="1"/>
    <n v="2"/>
    <n v="2"/>
    <n v="1"/>
    <n v="0.5"/>
    <m/>
    <n v="1"/>
    <m/>
    <m/>
    <m/>
    <m/>
    <m/>
    <m/>
    <m/>
    <m/>
    <m/>
  </r>
  <r>
    <x v="1"/>
    <s v="AWS_CP_065"/>
    <n v="100"/>
    <x v="6"/>
    <s v="TOUCHSCREEN HORIZON -CIO"/>
    <s v="DISTECH"/>
    <n v="1"/>
    <n v="1"/>
    <n v="1"/>
    <n v="1"/>
    <n v="1"/>
    <m/>
    <n v="1"/>
    <m/>
    <m/>
    <m/>
    <m/>
    <m/>
    <m/>
    <m/>
    <m/>
    <m/>
  </r>
  <r>
    <x v="1"/>
    <s v="AWS_CP_005"/>
    <n v="100"/>
    <x v="6"/>
    <s v="TOUCHSCREEN HORIZON -CIO"/>
    <s v="DISTECH"/>
    <n v="1"/>
    <n v="2"/>
    <n v="2"/>
    <n v="1"/>
    <n v="0.5"/>
    <m/>
    <n v="1"/>
    <m/>
    <m/>
    <m/>
    <m/>
    <m/>
    <m/>
    <m/>
    <m/>
    <m/>
  </r>
  <r>
    <x v="1"/>
    <s v="AWS_CP_065"/>
    <n v="101"/>
    <x v="7"/>
    <s v="DIFFERENTIAL PRESSURE LP"/>
    <s v="DISTECH"/>
    <n v="2"/>
    <n v="1"/>
    <n v="2"/>
    <n v="1"/>
    <n v="0.5"/>
    <m/>
    <n v="1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EA951-9A94-4E36-89E8-96A97CA0552F}" name="PivotTable1" cacheId="2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rowHeaderCaption="Parts">
  <location ref="A3:C16" firstHeaderRow="0" firstDataRow="1" firstDataCol="1" rowPageCount="1" colPageCount="1"/>
  <pivotFields count="22">
    <pivotField axis="axisPage" multipleItemSelectionAllowed="1" showAll="0">
      <items count="12">
        <item m="1" x="7"/>
        <item m="1" x="10"/>
        <item m="1" x="3"/>
        <item m="1" x="9"/>
        <item m="1" x="5"/>
        <item m="1" x="2"/>
        <item h="1" m="1" x="4"/>
        <item h="1" m="1" x="6"/>
        <item m="1" x="8"/>
        <item x="0"/>
        <item h="1" x="1"/>
        <item t="default"/>
      </items>
    </pivotField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m="1" x="13"/>
        <item m="1" x="14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1"/>
    </i>
    <i>
      <x v="12"/>
    </i>
    <i>
      <x v="13"/>
    </i>
    <i>
      <x v="14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Total Qty Ordered" fld="8" baseField="3" baseItem="0"/>
    <dataField name="Total Qty Received" fld="9" baseField="3" baseItem="0"/>
  </dataFields>
  <formats count="8">
    <format dxfId="14">
      <pivotArea field="3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">
      <pivotArea field="3" type="button" dataOnly="0" labelOnly="1" outline="0" axis="axisRow" fieldPosition="0"/>
    </format>
    <format dxfId="11">
      <pivotArea field="3" type="button" dataOnly="0" labelOnly="1" outline="0" axis="axisRow" fieldPosition="0"/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outline="0" collapsedLevelsAreSubtotals="1" fieldPosition="0"/>
    </format>
    <format dxfId="8">
      <pivotArea dataOnly="0" labelOnly="1" outline="0" fieldPosition="0">
        <references count="1">
          <reference field="0" count="0"/>
        </references>
      </pivotArea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333CB30-C537-4D44-BC94-6C68F2AAA034}" autoFormatId="16" applyNumberFormats="0" applyBorderFormats="0" applyFontFormats="0" applyPatternFormats="0" applyAlignmentFormats="0" applyWidthHeightFormats="0">
  <queryTableRefresh nextId="13">
    <queryTableFields count="8">
      <queryTableField id="1" name="PO #" tableColumnId="1"/>
      <queryTableField id="2" name="Part #" tableColumnId="2"/>
      <queryTableField id="3" name="Part Description" tableColumnId="3"/>
      <queryTableField id="4" name="Manufacturer" tableColumnId="4"/>
      <queryTableField id="6" name="Total Qty" tableColumnId="6"/>
      <queryTableField id="9" name="Qty Received" tableColumnId="7"/>
      <queryTableField id="8" name="Percent Received" tableColumnId="8"/>
      <queryTableField id="5" name="Vendor Notes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F65BD3-FAB5-4DE3-9142-5404B41D76F1}" name="VendorInventory" displayName="VendorInventory" ref="A5:V39">
  <autoFilter ref="A5:V39" xr:uid="{989E0B49-1948-4BC4-A841-EC3867D81F29}"/>
  <sortState xmlns:xlrd2="http://schemas.microsoft.com/office/spreadsheetml/2017/richdata2" ref="A6:V39">
    <sortCondition ref="A6"/>
    <sortCondition ref="A6"/>
    <sortCondition ref="D6"/>
    <sortCondition ref="A6"/>
    <sortCondition ref="D6"/>
    <sortCondition ref="A6"/>
    <sortCondition ref="A6"/>
    <sortCondition ref="D6"/>
    <sortCondition ref="A6"/>
    <sortCondition ref="D6"/>
  </sortState>
  <tableColumns count="22">
    <tableColumn id="22" xr3:uid="{62D9C963-D166-477B-B4CF-A5CD1ED61A61}" name="PO #" dataDxfId="27"/>
    <tableColumn id="1" xr3:uid="{492D4D00-9519-4C74-8F1A-FA1D5839F9DC}" name="Panel ID" totalsRowLabel="Total"/>
    <tableColumn id="2" xr3:uid="{5EE19683-FCAD-4EFD-AFF2-052EFE6B1343}" name="BOM Item #"/>
    <tableColumn id="3" xr3:uid="{A0D0139D-4A91-4466-BF13-293F21D4DF8B}" name="Part #"/>
    <tableColumn id="4" xr3:uid="{2F1443FB-D71B-43B2-B793-11994DFF7EC0}" name="Part Description"/>
    <tableColumn id="5" xr3:uid="{44CFA7D8-DA8C-4C4E-A572-E99D33F65D47}" name="Manufacturer"/>
    <tableColumn id="6" xr3:uid="{136749C6-0A40-4061-BABC-F74416B76B6E}" name="Qty Per"/>
    <tableColumn id="7" xr3:uid="{CC095C53-E29E-42BC-9E4C-AEE7F279B498}" name="Panel Qty"/>
    <tableColumn id="8" xr3:uid="{96727D65-94D2-4A2A-A61C-B143BDF518DA}" name="Total Qty"/>
    <tableColumn id="9" xr3:uid="{359E0B93-ABEF-4859-942C-59D7165CCE97}" name="Total Qty Received              Do Not Modify" dataDxfId="26">
      <calculatedColumnFormula>SUM(M6,O6,Q6,S6,U6)</calculatedColumnFormula>
    </tableColumn>
    <tableColumn id="21" xr3:uid="{A15CB5CA-AA7C-4EE4-869F-E34BBDA27D0A}" name="Percent Received" dataDxfId="25" dataCellStyle="Percent">
      <calculatedColumnFormula>VendorInventory[[#This Row],[Total Qty Received              Do Not Modify]]/VendorInventory[[#This Row],[Total Qty]]</calculatedColumnFormula>
    </tableColumn>
    <tableColumn id="10" xr3:uid="{2D99408D-F46A-410B-808A-BB74D0D7D7A0}" name="Vendor Notes"/>
    <tableColumn id="11" xr3:uid="{3D8C943D-27F0-49DD-9985-4ACB8815A22E}" name="Qty Received 1" dataDxfId="24"/>
    <tableColumn id="12" xr3:uid="{6A3B35EA-0BBA-45D1-9797-080233198EEB}" name="Date Received 1" dataDxfId="23"/>
    <tableColumn id="13" xr3:uid="{C45F10F8-7895-4A67-A693-EC1F293131BA}" name="Qty Received 2" dataDxfId="22"/>
    <tableColumn id="14" xr3:uid="{B58126CB-5280-477C-AC90-3B002C8D7D76}" name="Date Received 2" dataDxfId="21"/>
    <tableColumn id="15" xr3:uid="{84EA1E4D-8182-4DDF-A7AE-28C284435ACC}" name="Qty Received 3" dataDxfId="20"/>
    <tableColumn id="16" xr3:uid="{B423D7C7-372A-464C-A752-3630A736DA64}" name="Date Received 3" dataDxfId="19"/>
    <tableColumn id="17" xr3:uid="{A9A2A3AB-EFFC-46C1-96AF-F6C4A3A65CE3}" name="Qty Received 4" dataDxfId="18"/>
    <tableColumn id="18" xr3:uid="{00914DA0-38A3-4D47-A728-5C23CEF91ED1}" name="Date Received 4" dataDxfId="17"/>
    <tableColumn id="19" xr3:uid="{103B8486-A04E-4231-AF86-42F81C3CD380}" name="Qty Received 5" dataDxfId="16"/>
    <tableColumn id="20" xr3:uid="{FF20A134-7349-4725-9994-55FC8D7A99C1}" name="Date Received 5" totalsRowFunction="count" dataDxfId="1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C7CC736-3EA6-4DC2-B3C5-3122ECC51096}" name="PowerSummary" displayName="PowerSummary" ref="A5:H24" tableType="queryTable" totalsRowShown="0" headerRowDxfId="29" dataDxfId="28">
  <autoFilter ref="A5:H24" xr:uid="{6BDAFB37-CDE8-462B-B8C2-619E5DC9FCAE}"/>
  <tableColumns count="8">
    <tableColumn id="1" xr3:uid="{FFA244BC-F081-4084-9AE6-5B48D4ABDF2C}" uniqueName="1" name="PO #" queryTableFieldId="1" dataDxfId="6"/>
    <tableColumn id="2" xr3:uid="{F4A6969F-ADE7-479C-BA2E-4ADCDD83BA1B}" uniqueName="2" name="Part #" queryTableFieldId="2" dataDxfId="5"/>
    <tableColumn id="3" xr3:uid="{FAE8F4CF-9DA1-4B8D-827A-AE3424BE2159}" uniqueName="3" name="Part Description" queryTableFieldId="3" dataDxfId="4"/>
    <tableColumn id="4" xr3:uid="{AB7DAED1-352F-4918-8E58-E0A7942CD9A6}" uniqueName="4" name="Manufacturer" queryTableFieldId="4" dataDxfId="3"/>
    <tableColumn id="6" xr3:uid="{4A60F1BC-B379-4EE6-B4FC-EBBEAB9C0AF8}" uniqueName="6" name="Total Qty" queryTableFieldId="6" dataDxfId="2"/>
    <tableColumn id="7" xr3:uid="{B110D180-C7A9-4981-ADD5-9E192F7F0C00}" uniqueName="7" name="Qty Received" queryTableFieldId="9"/>
    <tableColumn id="8" xr3:uid="{08531DC8-E942-4FB8-8441-A55A64D7D713}" uniqueName="8" name="Percent Received" queryTableFieldId="8" dataDxfId="1"/>
    <tableColumn id="5" xr3:uid="{D1EDCBBA-E80B-4779-8486-6BB4374A14D5}" uniqueName="5" name="Vendor Notes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D276B-6A61-4152-A079-35835824A6D9}">
  <sheetPr codeName="Sheet1"/>
  <dimension ref="A1:X39"/>
  <sheetViews>
    <sheetView topLeftCell="J1" zoomScale="70" zoomScaleNormal="70" workbookViewId="0">
      <pane ySplit="5" topLeftCell="A6" activePane="bottomLeft" state="frozen"/>
      <selection pane="bottomLeft" activeCell="L45" sqref="L45"/>
    </sheetView>
  </sheetViews>
  <sheetFormatPr defaultRowHeight="15" x14ac:dyDescent="0.25"/>
  <cols>
    <col min="1" max="1" width="13.85546875" style="23" bestFit="1" customWidth="1"/>
    <col min="2" max="2" width="17.7109375" bestFit="1" customWidth="1"/>
    <col min="3" max="3" width="18.85546875" bestFit="1" customWidth="1"/>
    <col min="4" max="4" width="28.85546875" bestFit="1" customWidth="1"/>
    <col min="5" max="5" width="54.85546875" bestFit="1" customWidth="1"/>
    <col min="6" max="6" width="23.5703125" bestFit="1" customWidth="1"/>
    <col min="7" max="7" width="38.140625" bestFit="1" customWidth="1"/>
    <col min="8" max="8" width="19.28515625" bestFit="1" customWidth="1"/>
    <col min="9" max="9" width="18.5703125" style="10" bestFit="1" customWidth="1"/>
    <col min="10" max="10" width="25.85546875" style="19" bestFit="1" customWidth="1"/>
    <col min="11" max="11" width="16.7109375" bestFit="1" customWidth="1"/>
    <col min="12" max="12" width="21" style="10" bestFit="1" customWidth="1"/>
    <col min="13" max="13" width="22.140625" style="18" bestFit="1" customWidth="1"/>
    <col min="14" max="14" width="23.42578125" style="10" bestFit="1" customWidth="1"/>
    <col min="15" max="15" width="22.140625" style="18" bestFit="1" customWidth="1"/>
    <col min="16" max="16" width="23.42578125" style="10" bestFit="1" customWidth="1"/>
    <col min="17" max="17" width="22.140625" style="18" bestFit="1" customWidth="1"/>
    <col min="18" max="18" width="23.42578125" style="10" bestFit="1" customWidth="1"/>
    <col min="19" max="19" width="22.140625" style="18" bestFit="1" customWidth="1"/>
    <col min="20" max="20" width="23.42578125" style="10" bestFit="1" customWidth="1"/>
    <col min="21" max="21" width="22.140625" style="18" bestFit="1" customWidth="1"/>
    <col min="22" max="22" width="23.42578125" style="10" bestFit="1" customWidth="1"/>
    <col min="23" max="23" width="9.140625" style="10"/>
  </cols>
  <sheetData>
    <row r="1" spans="1:24" ht="31.5" x14ac:dyDescent="0.5">
      <c r="A1" s="26"/>
      <c r="B1" s="21"/>
      <c r="C1" s="56" t="s">
        <v>2</v>
      </c>
      <c r="D1" s="57"/>
      <c r="E1" s="57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26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X5" s="10"/>
    </row>
    <row r="6" spans="1:24" ht="15.75" thickTop="1" x14ac:dyDescent="0.25">
      <c r="A6" s="28">
        <v>3737</v>
      </c>
      <c r="B6" s="31" t="s">
        <v>57</v>
      </c>
      <c r="C6" s="31">
        <v>106</v>
      </c>
      <c r="D6" s="2" t="s">
        <v>51</v>
      </c>
      <c r="E6" s="2" t="s">
        <v>52</v>
      </c>
      <c r="F6" s="31" t="s">
        <v>37</v>
      </c>
      <c r="G6" s="31">
        <v>1</v>
      </c>
      <c r="H6" s="31">
        <v>1</v>
      </c>
      <c r="I6" s="31">
        <v>1</v>
      </c>
      <c r="J6" s="10">
        <f>SUM(M6,O6,Q6,S6,U6)</f>
        <v>1</v>
      </c>
      <c r="K6" s="19">
        <f>VendorInventory[[#This Row],[Total Qty Received              Do Not Modify]]/VendorInventory[[#This Row],[Total Qty]]</f>
        <v>1</v>
      </c>
      <c r="L6" t="s">
        <v>69</v>
      </c>
      <c r="M6" s="10">
        <v>1</v>
      </c>
      <c r="N6" s="18"/>
      <c r="O6" s="10"/>
      <c r="P6" s="18"/>
      <c r="Q6" s="10"/>
      <c r="R6" s="18"/>
      <c r="S6" s="10"/>
      <c r="T6" s="18"/>
      <c r="U6" s="10"/>
      <c r="V6" s="18"/>
      <c r="X6" s="10"/>
    </row>
    <row r="7" spans="1:24" x14ac:dyDescent="0.25">
      <c r="A7" s="28">
        <v>3737</v>
      </c>
      <c r="B7" s="31" t="s">
        <v>35</v>
      </c>
      <c r="C7" s="31">
        <v>108</v>
      </c>
      <c r="D7" s="2" t="s">
        <v>51</v>
      </c>
      <c r="E7" s="2" t="s">
        <v>52</v>
      </c>
      <c r="F7" s="31" t="s">
        <v>37</v>
      </c>
      <c r="G7" s="31">
        <v>2</v>
      </c>
      <c r="H7" s="31">
        <v>1</v>
      </c>
      <c r="I7" s="31">
        <v>2</v>
      </c>
      <c r="J7" s="30">
        <f>SUM(M7,O7,Q7,S7,U7)</f>
        <v>0</v>
      </c>
      <c r="K7" s="19">
        <f>VendorInventory[[#This Row],[Total Qty Received              Do Not Modify]]/VendorInventory[[#This Row],[Total Qty]]</f>
        <v>0</v>
      </c>
      <c r="L7" t="s">
        <v>70</v>
      </c>
      <c r="M7" s="42"/>
      <c r="N7" s="18"/>
      <c r="O7" s="42"/>
      <c r="P7" s="18"/>
      <c r="Q7" s="42"/>
      <c r="R7" s="18"/>
      <c r="S7" s="42"/>
      <c r="T7" s="18"/>
      <c r="U7" s="42"/>
      <c r="V7" s="18"/>
      <c r="X7" s="10"/>
    </row>
    <row r="8" spans="1:24" x14ac:dyDescent="0.25">
      <c r="A8" s="28">
        <v>3737</v>
      </c>
      <c r="B8" s="31" t="s">
        <v>63</v>
      </c>
      <c r="C8" s="31">
        <v>109</v>
      </c>
      <c r="D8" s="2" t="s">
        <v>51</v>
      </c>
      <c r="E8" s="2" t="s">
        <v>52</v>
      </c>
      <c r="F8" s="31" t="s">
        <v>37</v>
      </c>
      <c r="G8" s="31">
        <v>1</v>
      </c>
      <c r="H8" s="31">
        <v>1</v>
      </c>
      <c r="I8" s="31">
        <v>1</v>
      </c>
      <c r="J8" s="30">
        <f>SUM(M8,O8,Q8,S8,U8)</f>
        <v>0</v>
      </c>
      <c r="K8" s="19">
        <f>VendorInventory[[#This Row],[Total Qty Received              Do Not Modify]]/VendorInventory[[#This Row],[Total Qty]]</f>
        <v>0</v>
      </c>
      <c r="L8" s="42" t="s">
        <v>71</v>
      </c>
      <c r="M8" s="32"/>
      <c r="N8" s="18"/>
      <c r="O8" s="32"/>
      <c r="P8" s="18"/>
      <c r="Q8" s="32"/>
      <c r="R8" s="18"/>
      <c r="S8" s="32"/>
      <c r="T8" s="18"/>
      <c r="U8" s="32"/>
      <c r="V8" s="18"/>
      <c r="X8" s="10"/>
    </row>
    <row r="9" spans="1:24" x14ac:dyDescent="0.25">
      <c r="A9" s="28">
        <v>3737</v>
      </c>
      <c r="B9" s="31" t="s">
        <v>57</v>
      </c>
      <c r="C9" s="31">
        <v>105</v>
      </c>
      <c r="D9" s="2" t="s">
        <v>49</v>
      </c>
      <c r="E9" s="2" t="s">
        <v>50</v>
      </c>
      <c r="F9" s="31" t="s">
        <v>37</v>
      </c>
      <c r="G9" s="31">
        <v>1</v>
      </c>
      <c r="H9" s="31">
        <v>1</v>
      </c>
      <c r="I9" s="31">
        <v>1</v>
      </c>
      <c r="J9" s="30">
        <f>SUM(M9,O9,Q9,S9,U9)</f>
        <v>1</v>
      </c>
      <c r="K9" s="19">
        <f>VendorInventory[[#This Row],[Total Qty Received              Do Not Modify]]/VendorInventory[[#This Row],[Total Qty]]</f>
        <v>1</v>
      </c>
      <c r="L9"/>
      <c r="M9" s="29">
        <v>1</v>
      </c>
      <c r="N9" s="18"/>
      <c r="O9" s="10"/>
      <c r="P9" s="18"/>
      <c r="Q9" s="10"/>
      <c r="R9" s="18"/>
      <c r="S9" s="10"/>
      <c r="T9" s="18"/>
      <c r="U9" s="10"/>
      <c r="V9" s="18"/>
      <c r="X9" s="10"/>
    </row>
    <row r="10" spans="1:24" x14ac:dyDescent="0.25">
      <c r="A10" s="28">
        <v>3737</v>
      </c>
      <c r="B10" s="31" t="s">
        <v>35</v>
      </c>
      <c r="C10" s="31">
        <v>107</v>
      </c>
      <c r="D10" s="2" t="s">
        <v>49</v>
      </c>
      <c r="E10" s="2" t="s">
        <v>50</v>
      </c>
      <c r="F10" s="31" t="s">
        <v>37</v>
      </c>
      <c r="G10" s="31">
        <v>1</v>
      </c>
      <c r="H10" s="31">
        <v>1</v>
      </c>
      <c r="I10" s="31">
        <v>1</v>
      </c>
      <c r="J10" s="30">
        <f>SUM(M10,O10,Q10,S10,U10)</f>
        <v>0</v>
      </c>
      <c r="K10" s="19">
        <f>VendorInventory[[#This Row],[Total Qty Received              Do Not Modify]]/VendorInventory[[#This Row],[Total Qty]]</f>
        <v>0</v>
      </c>
      <c r="L10"/>
      <c r="M10" s="29"/>
      <c r="N10" s="18"/>
      <c r="O10" s="10"/>
      <c r="P10" s="18"/>
      <c r="Q10" s="10"/>
      <c r="R10" s="18"/>
      <c r="S10" s="10"/>
      <c r="T10" s="18"/>
      <c r="U10" s="10"/>
      <c r="V10" s="18"/>
      <c r="X10" s="10"/>
    </row>
    <row r="11" spans="1:24" x14ac:dyDescent="0.25">
      <c r="A11" s="28">
        <v>3737</v>
      </c>
      <c r="B11" s="31" t="s">
        <v>63</v>
      </c>
      <c r="C11" s="31">
        <v>106</v>
      </c>
      <c r="D11" s="2" t="s">
        <v>49</v>
      </c>
      <c r="E11" s="2" t="s">
        <v>50</v>
      </c>
      <c r="F11" s="31" t="s">
        <v>37</v>
      </c>
      <c r="G11" s="31">
        <v>1</v>
      </c>
      <c r="H11" s="31">
        <v>1</v>
      </c>
      <c r="I11" s="31">
        <v>1</v>
      </c>
      <c r="J11" s="30">
        <f>SUM(M11,O11,Q11,S11,U11)</f>
        <v>0</v>
      </c>
      <c r="K11" s="19">
        <f>VendorInventory[[#This Row],[Total Qty Received              Do Not Modify]]/VendorInventory[[#This Row],[Total Qty]]</f>
        <v>0</v>
      </c>
      <c r="L11"/>
      <c r="M11" s="29"/>
      <c r="N11" s="18"/>
      <c r="O11" s="10"/>
      <c r="P11" s="18"/>
      <c r="Q11" s="10"/>
      <c r="R11" s="18"/>
      <c r="S11" s="10"/>
      <c r="T11" s="18"/>
      <c r="U11" s="10"/>
      <c r="V11" s="18"/>
      <c r="X11" s="10"/>
    </row>
    <row r="12" spans="1:24" x14ac:dyDescent="0.25">
      <c r="A12" s="28">
        <v>3737</v>
      </c>
      <c r="B12" s="31" t="s">
        <v>57</v>
      </c>
      <c r="C12" s="31">
        <v>104</v>
      </c>
      <c r="D12" s="2" t="s">
        <v>47</v>
      </c>
      <c r="E12" s="2" t="s">
        <v>48</v>
      </c>
      <c r="F12" s="31" t="s">
        <v>37</v>
      </c>
      <c r="G12" s="31">
        <v>2</v>
      </c>
      <c r="H12" s="31">
        <v>1</v>
      </c>
      <c r="I12" s="31">
        <v>2</v>
      </c>
      <c r="J12" s="30">
        <f>SUM(M12,O12,Q12,S12,U12)</f>
        <v>1</v>
      </c>
      <c r="K12" s="19">
        <f>VendorInventory[[#This Row],[Total Qty Received              Do Not Modify]]/VendorInventory[[#This Row],[Total Qty]]</f>
        <v>0.5</v>
      </c>
      <c r="L12"/>
      <c r="M12" s="29">
        <v>1</v>
      </c>
      <c r="N12" s="18"/>
      <c r="O12" s="10"/>
      <c r="P12" s="18"/>
      <c r="Q12" s="10"/>
      <c r="R12" s="18"/>
      <c r="S12" s="10"/>
      <c r="T12" s="18"/>
      <c r="U12" s="10"/>
      <c r="V12" s="18"/>
      <c r="X12" s="10"/>
    </row>
    <row r="13" spans="1:24" x14ac:dyDescent="0.25">
      <c r="A13" s="28">
        <v>3737</v>
      </c>
      <c r="B13" s="31" t="s">
        <v>35</v>
      </c>
      <c r="C13" s="31">
        <v>106</v>
      </c>
      <c r="D13" s="2" t="s">
        <v>47</v>
      </c>
      <c r="E13" s="2" t="s">
        <v>48</v>
      </c>
      <c r="F13" s="31" t="s">
        <v>37</v>
      </c>
      <c r="G13" s="31">
        <v>1</v>
      </c>
      <c r="H13" s="31">
        <v>1</v>
      </c>
      <c r="I13" s="31">
        <v>1</v>
      </c>
      <c r="J13" s="30">
        <f>SUM(M13,O13,Q13,S13,U13)</f>
        <v>0</v>
      </c>
      <c r="K13" s="19">
        <f>VendorInventory[[#This Row],[Total Qty Received              Do Not Modify]]/VendorInventory[[#This Row],[Total Qty]]</f>
        <v>0</v>
      </c>
      <c r="L13"/>
      <c r="M13" s="29"/>
      <c r="N13" s="18"/>
      <c r="O13" s="10"/>
      <c r="P13" s="18"/>
      <c r="Q13" s="10"/>
      <c r="R13" s="18"/>
      <c r="S13" s="10"/>
      <c r="T13" s="18"/>
      <c r="U13" s="10"/>
      <c r="V13" s="18"/>
      <c r="X13" s="10"/>
    </row>
    <row r="14" spans="1:24" x14ac:dyDescent="0.25">
      <c r="A14" s="28">
        <v>3737</v>
      </c>
      <c r="B14" s="31" t="s">
        <v>57</v>
      </c>
      <c r="C14" s="31">
        <v>103</v>
      </c>
      <c r="D14" s="2" t="s">
        <v>45</v>
      </c>
      <c r="E14" s="2" t="s">
        <v>46</v>
      </c>
      <c r="F14" s="31" t="s">
        <v>37</v>
      </c>
      <c r="G14" s="31">
        <v>5</v>
      </c>
      <c r="H14" s="31">
        <v>1</v>
      </c>
      <c r="I14" s="31">
        <v>5</v>
      </c>
      <c r="J14" s="30">
        <f>SUM(M14,O14,Q14,S14,U14)</f>
        <v>1</v>
      </c>
      <c r="K14" s="19">
        <f>VendorInventory[[#This Row],[Total Qty Received              Do Not Modify]]/VendorInventory[[#This Row],[Total Qty]]</f>
        <v>0.2</v>
      </c>
      <c r="L14"/>
      <c r="M14" s="29">
        <v>1</v>
      </c>
      <c r="N14" s="18"/>
      <c r="O14" s="10"/>
      <c r="P14" s="18"/>
      <c r="Q14" s="10"/>
      <c r="R14" s="18"/>
      <c r="S14" s="10"/>
      <c r="T14" s="18"/>
      <c r="U14" s="10"/>
      <c r="V14" s="18"/>
      <c r="X14" s="10"/>
    </row>
    <row r="15" spans="1:24" x14ac:dyDescent="0.25">
      <c r="A15" s="28">
        <v>3737</v>
      </c>
      <c r="B15" s="31" t="s">
        <v>35</v>
      </c>
      <c r="C15" s="31">
        <v>105</v>
      </c>
      <c r="D15" s="2" t="s">
        <v>45</v>
      </c>
      <c r="E15" s="2" t="s">
        <v>46</v>
      </c>
      <c r="F15" s="31" t="s">
        <v>37</v>
      </c>
      <c r="G15" s="31">
        <v>16</v>
      </c>
      <c r="H15" s="31">
        <v>1</v>
      </c>
      <c r="I15" s="31">
        <v>16</v>
      </c>
      <c r="J15" s="30">
        <f>SUM(M15,O15,Q15,S15,U15)</f>
        <v>0</v>
      </c>
      <c r="K15" s="19">
        <f>VendorInventory[[#This Row],[Total Qty Received              Do Not Modify]]/VendorInventory[[#This Row],[Total Qty]]</f>
        <v>0</v>
      </c>
      <c r="L15"/>
      <c r="M15" s="29"/>
      <c r="N15" s="18"/>
      <c r="O15" s="10"/>
      <c r="P15" s="18"/>
      <c r="Q15" s="10"/>
      <c r="R15" s="18"/>
      <c r="S15" s="10"/>
      <c r="T15" s="18"/>
      <c r="U15" s="10"/>
      <c r="V15" s="18"/>
      <c r="X15" s="10"/>
    </row>
    <row r="16" spans="1:24" x14ac:dyDescent="0.25">
      <c r="A16" s="28">
        <v>3737</v>
      </c>
      <c r="B16" s="31" t="s">
        <v>57</v>
      </c>
      <c r="C16" s="31">
        <v>101</v>
      </c>
      <c r="D16" s="2" t="s">
        <v>41</v>
      </c>
      <c r="E16" s="2" t="s">
        <v>42</v>
      </c>
      <c r="F16" s="31" t="s">
        <v>37</v>
      </c>
      <c r="G16" s="31">
        <v>2</v>
      </c>
      <c r="H16" s="31">
        <v>1</v>
      </c>
      <c r="I16" s="31">
        <v>2</v>
      </c>
      <c r="J16" s="30">
        <f>SUM(M16,O16,Q16,S16,U16)</f>
        <v>1</v>
      </c>
      <c r="K16" s="19">
        <f>VendorInventory[[#This Row],[Total Qty Received              Do Not Modify]]/VendorInventory[[#This Row],[Total Qty]]</f>
        <v>0.5</v>
      </c>
      <c r="L16"/>
      <c r="M16" s="29">
        <v>1</v>
      </c>
      <c r="N16" s="18"/>
      <c r="O16" s="10"/>
      <c r="P16" s="18"/>
      <c r="Q16" s="10"/>
      <c r="R16" s="18"/>
      <c r="S16" s="10"/>
      <c r="T16" s="18"/>
      <c r="U16" s="10"/>
      <c r="V16" s="18"/>
      <c r="X16" s="10"/>
    </row>
    <row r="17" spans="1:24" x14ac:dyDescent="0.25">
      <c r="A17" s="28">
        <v>3737</v>
      </c>
      <c r="B17" s="31" t="s">
        <v>35</v>
      </c>
      <c r="C17" s="31">
        <v>103</v>
      </c>
      <c r="D17" s="2" t="s">
        <v>41</v>
      </c>
      <c r="E17" s="2" t="s">
        <v>42</v>
      </c>
      <c r="F17" s="31" t="s">
        <v>37</v>
      </c>
      <c r="G17" s="31">
        <v>5</v>
      </c>
      <c r="H17" s="31">
        <v>1</v>
      </c>
      <c r="I17" s="31">
        <v>5</v>
      </c>
      <c r="J17" s="30">
        <f>SUM(M17,O17,Q17,S17,U17)</f>
        <v>0</v>
      </c>
      <c r="K17" s="19">
        <f>VendorInventory[[#This Row],[Total Qty Received              Do Not Modify]]/VendorInventory[[#This Row],[Total Qty]]</f>
        <v>0</v>
      </c>
      <c r="L17"/>
      <c r="M17" s="29"/>
      <c r="N17" s="18"/>
      <c r="O17" s="10"/>
      <c r="P17" s="18"/>
      <c r="Q17" s="10"/>
      <c r="R17" s="18"/>
      <c r="S17" s="10"/>
      <c r="T17" s="18"/>
      <c r="U17" s="10"/>
      <c r="V17" s="18"/>
      <c r="X17" s="10"/>
    </row>
    <row r="18" spans="1:24" x14ac:dyDescent="0.25">
      <c r="A18" s="28">
        <v>3737</v>
      </c>
      <c r="B18" s="31" t="s">
        <v>57</v>
      </c>
      <c r="C18" s="31">
        <v>102</v>
      </c>
      <c r="D18" s="2" t="s">
        <v>43</v>
      </c>
      <c r="E18" s="2" t="s">
        <v>44</v>
      </c>
      <c r="F18" s="31" t="s">
        <v>37</v>
      </c>
      <c r="G18" s="31">
        <v>1</v>
      </c>
      <c r="H18" s="31">
        <v>1</v>
      </c>
      <c r="I18" s="31">
        <v>1</v>
      </c>
      <c r="J18" s="30">
        <f>SUM(M18,O18,Q18,S18,U18)</f>
        <v>1</v>
      </c>
      <c r="K18" s="19">
        <f>VendorInventory[[#This Row],[Total Qty Received              Do Not Modify]]/VendorInventory[[#This Row],[Total Qty]]</f>
        <v>1</v>
      </c>
      <c r="L18"/>
      <c r="M18" s="29">
        <v>1</v>
      </c>
      <c r="N18" s="18"/>
      <c r="O18" s="10"/>
      <c r="P18" s="18"/>
      <c r="Q18" s="10"/>
      <c r="R18" s="18"/>
      <c r="S18" s="10"/>
      <c r="T18" s="18"/>
      <c r="U18" s="10"/>
      <c r="V18" s="18"/>
      <c r="X18" s="10"/>
    </row>
    <row r="19" spans="1:24" x14ac:dyDescent="0.25">
      <c r="A19" s="28">
        <v>3737</v>
      </c>
      <c r="B19" s="31" t="s">
        <v>35</v>
      </c>
      <c r="C19" s="31">
        <v>104</v>
      </c>
      <c r="D19" s="2" t="s">
        <v>43</v>
      </c>
      <c r="E19" s="2" t="s">
        <v>44</v>
      </c>
      <c r="F19" s="31" t="s">
        <v>37</v>
      </c>
      <c r="G19" s="31">
        <v>1</v>
      </c>
      <c r="H19" s="31">
        <v>1</v>
      </c>
      <c r="I19" s="31">
        <v>1</v>
      </c>
      <c r="J19" s="30">
        <f>SUM(M19,O19,Q19,S19,U19)</f>
        <v>0</v>
      </c>
      <c r="K19" s="19">
        <f>VendorInventory[[#This Row],[Total Qty Received              Do Not Modify]]/VendorInventory[[#This Row],[Total Qty]]</f>
        <v>0</v>
      </c>
      <c r="L19"/>
      <c r="M19" s="29"/>
      <c r="N19" s="18"/>
      <c r="O19" s="10"/>
      <c r="P19" s="18"/>
      <c r="Q19" s="10"/>
      <c r="R19" s="18"/>
      <c r="S19" s="10"/>
      <c r="T19" s="18"/>
      <c r="U19" s="10"/>
      <c r="V19" s="18"/>
      <c r="X19" s="10"/>
    </row>
    <row r="20" spans="1:24" x14ac:dyDescent="0.25">
      <c r="A20" s="28">
        <v>3737</v>
      </c>
      <c r="B20" s="31" t="s">
        <v>35</v>
      </c>
      <c r="C20" s="31">
        <v>100</v>
      </c>
      <c r="D20" s="2" t="s">
        <v>24</v>
      </c>
      <c r="E20" s="2" t="s">
        <v>36</v>
      </c>
      <c r="F20" s="31" t="s">
        <v>37</v>
      </c>
      <c r="G20" s="31">
        <v>1</v>
      </c>
      <c r="H20" s="31">
        <v>1</v>
      </c>
      <c r="I20" s="31">
        <v>1</v>
      </c>
      <c r="J20" s="30">
        <f>SUM(M20,O20,Q20,S20,U20)</f>
        <v>1</v>
      </c>
      <c r="K20" s="19">
        <f>VendorInventory[[#This Row],[Total Qty Received              Do Not Modify]]/VendorInventory[[#This Row],[Total Qty]]</f>
        <v>1</v>
      </c>
      <c r="L20"/>
      <c r="M20" s="29">
        <v>1</v>
      </c>
      <c r="N20" s="18"/>
      <c r="O20" s="10"/>
      <c r="P20" s="18"/>
      <c r="Q20" s="10"/>
      <c r="R20" s="18"/>
      <c r="S20" s="10"/>
      <c r="T20" s="18"/>
      <c r="U20" s="10"/>
      <c r="V20" s="18"/>
      <c r="X20" s="10"/>
    </row>
    <row r="21" spans="1:24" x14ac:dyDescent="0.25">
      <c r="A21" s="28">
        <v>3737</v>
      </c>
      <c r="B21" s="31" t="s">
        <v>57</v>
      </c>
      <c r="C21" s="31">
        <v>100</v>
      </c>
      <c r="D21" s="2" t="s">
        <v>24</v>
      </c>
      <c r="E21" s="2" t="s">
        <v>36</v>
      </c>
      <c r="F21" s="31" t="s">
        <v>37</v>
      </c>
      <c r="G21" s="31">
        <v>1</v>
      </c>
      <c r="H21" s="31">
        <v>1</v>
      </c>
      <c r="I21" s="31">
        <v>1</v>
      </c>
      <c r="J21" s="30">
        <f>SUM(M21,O21,Q21,S21,U21)</f>
        <v>1</v>
      </c>
      <c r="K21" s="19">
        <f>VendorInventory[[#This Row],[Total Qty Received              Do Not Modify]]/VendorInventory[[#This Row],[Total Qty]]</f>
        <v>1</v>
      </c>
      <c r="L21"/>
      <c r="M21" s="29">
        <v>1</v>
      </c>
      <c r="N21" s="18"/>
      <c r="O21" s="10"/>
      <c r="P21" s="18"/>
      <c r="Q21" s="10"/>
      <c r="R21" s="18"/>
      <c r="S21" s="10"/>
      <c r="T21" s="18"/>
      <c r="U21" s="10"/>
      <c r="V21" s="18"/>
      <c r="X21" s="10"/>
    </row>
    <row r="22" spans="1:24" x14ac:dyDescent="0.25">
      <c r="A22" s="28">
        <v>3737</v>
      </c>
      <c r="B22" s="31" t="s">
        <v>35</v>
      </c>
      <c r="C22" s="31">
        <v>102</v>
      </c>
      <c r="D22" s="2" t="s">
        <v>25</v>
      </c>
      <c r="E22" s="2" t="s">
        <v>40</v>
      </c>
      <c r="F22" s="31" t="s">
        <v>37</v>
      </c>
      <c r="G22" s="31">
        <v>4</v>
      </c>
      <c r="H22" s="31">
        <v>1</v>
      </c>
      <c r="I22" s="31">
        <v>4</v>
      </c>
      <c r="J22" s="30">
        <f>SUM(M22,O22,Q22,S22,U22)</f>
        <v>3</v>
      </c>
      <c r="K22" s="19">
        <f>VendorInventory[[#This Row],[Total Qty Received              Do Not Modify]]/VendorInventory[[#This Row],[Total Qty]]</f>
        <v>0.75</v>
      </c>
      <c r="L22"/>
      <c r="M22" s="29">
        <v>3</v>
      </c>
      <c r="N22" s="18"/>
      <c r="O22" s="10"/>
      <c r="P22" s="18"/>
      <c r="Q22" s="10"/>
      <c r="R22" s="18"/>
      <c r="S22" s="10"/>
      <c r="T22" s="18"/>
      <c r="U22" s="10"/>
      <c r="V22" s="18"/>
      <c r="X22" s="10"/>
    </row>
    <row r="23" spans="1:24" x14ac:dyDescent="0.25">
      <c r="A23" s="28">
        <v>3737</v>
      </c>
      <c r="B23" s="31" t="s">
        <v>35</v>
      </c>
      <c r="C23" s="31">
        <v>101</v>
      </c>
      <c r="D23" s="2" t="s">
        <v>38</v>
      </c>
      <c r="E23" s="2" t="s">
        <v>39</v>
      </c>
      <c r="F23" s="31" t="s">
        <v>37</v>
      </c>
      <c r="G23" s="31">
        <v>3</v>
      </c>
      <c r="H23" s="31">
        <v>1</v>
      </c>
      <c r="I23" s="31">
        <v>3</v>
      </c>
      <c r="J23" s="30">
        <f>SUM(M23,O23,Q23,S23,U23)</f>
        <v>2</v>
      </c>
      <c r="K23" s="19">
        <f>VendorInventory[[#This Row],[Total Qty Received              Do Not Modify]]/VendorInventory[[#This Row],[Total Qty]]</f>
        <v>0.66666666666666663</v>
      </c>
      <c r="L23"/>
      <c r="M23" s="29">
        <v>2</v>
      </c>
      <c r="N23" s="18"/>
      <c r="O23" s="10"/>
      <c r="P23" s="18"/>
      <c r="Q23" s="10"/>
      <c r="R23" s="18"/>
      <c r="S23" s="10"/>
      <c r="T23" s="18"/>
      <c r="U23" s="10"/>
      <c r="V23" s="18"/>
      <c r="X23" s="10"/>
    </row>
    <row r="24" spans="1:24" x14ac:dyDescent="0.25">
      <c r="A24" s="28">
        <v>3737</v>
      </c>
      <c r="B24" s="31" t="s">
        <v>57</v>
      </c>
      <c r="C24" s="31">
        <v>107</v>
      </c>
      <c r="D24" s="2" t="s">
        <v>59</v>
      </c>
      <c r="E24" s="2" t="s">
        <v>60</v>
      </c>
      <c r="F24" s="31" t="s">
        <v>37</v>
      </c>
      <c r="G24" s="31">
        <v>1</v>
      </c>
      <c r="H24" s="31">
        <v>1</v>
      </c>
      <c r="I24" s="31">
        <v>1</v>
      </c>
      <c r="J24" s="30">
        <f>SUM(M24,O24,Q24,S24,U24)</f>
        <v>1</v>
      </c>
      <c r="K24" s="19">
        <f>VendorInventory[[#This Row],[Total Qty Received              Do Not Modify]]/VendorInventory[[#This Row],[Total Qty]]</f>
        <v>1</v>
      </c>
      <c r="L24"/>
      <c r="M24" s="29">
        <v>1</v>
      </c>
      <c r="N24" s="18"/>
      <c r="O24" s="10"/>
      <c r="P24" s="18"/>
      <c r="Q24" s="10"/>
      <c r="R24" s="18"/>
      <c r="S24" s="10"/>
      <c r="T24" s="18"/>
      <c r="U24" s="10"/>
      <c r="V24" s="18"/>
      <c r="X24" s="10"/>
    </row>
    <row r="25" spans="1:24" x14ac:dyDescent="0.25">
      <c r="A25" s="28">
        <v>3737</v>
      </c>
      <c r="B25" s="31" t="s">
        <v>63</v>
      </c>
      <c r="C25" s="31">
        <v>107</v>
      </c>
      <c r="D25" s="2" t="s">
        <v>59</v>
      </c>
      <c r="E25" s="2" t="s">
        <v>60</v>
      </c>
      <c r="F25" s="31" t="s">
        <v>37</v>
      </c>
      <c r="G25" s="31">
        <v>1</v>
      </c>
      <c r="H25" s="31">
        <v>1</v>
      </c>
      <c r="I25" s="31">
        <v>1</v>
      </c>
      <c r="J25" s="30">
        <f>SUM(M25,O25,Q25,S25,U25)</f>
        <v>0</v>
      </c>
      <c r="K25" s="19">
        <f>VendorInventory[[#This Row],[Total Qty Received              Do Not Modify]]/VendorInventory[[#This Row],[Total Qty]]</f>
        <v>0</v>
      </c>
      <c r="L25"/>
      <c r="M25" s="29"/>
      <c r="N25" s="18"/>
      <c r="O25" s="10"/>
      <c r="P25" s="18"/>
      <c r="Q25" s="10"/>
      <c r="R25" s="18"/>
      <c r="S25" s="10"/>
      <c r="T25" s="18"/>
      <c r="U25" s="10"/>
      <c r="V25" s="18"/>
      <c r="X25" s="10"/>
    </row>
    <row r="26" spans="1:24" x14ac:dyDescent="0.25">
      <c r="A26" s="28">
        <v>3737</v>
      </c>
      <c r="B26" s="31" t="s">
        <v>35</v>
      </c>
      <c r="C26" s="31">
        <v>109</v>
      </c>
      <c r="D26" s="2" t="s">
        <v>53</v>
      </c>
      <c r="E26" s="2" t="s">
        <v>54</v>
      </c>
      <c r="F26" s="31" t="s">
        <v>37</v>
      </c>
      <c r="G26" s="31">
        <v>1</v>
      </c>
      <c r="H26" s="31">
        <v>1</v>
      </c>
      <c r="I26" s="31">
        <v>1</v>
      </c>
      <c r="J26" s="30">
        <f>SUM(M26,O26,Q26,S26,U26)</f>
        <v>0</v>
      </c>
      <c r="K26" s="19">
        <f>VendorInventory[[#This Row],[Total Qty Received              Do Not Modify]]/VendorInventory[[#This Row],[Total Qty]]</f>
        <v>0</v>
      </c>
      <c r="L26"/>
      <c r="M26" s="29"/>
      <c r="N26" s="18"/>
      <c r="O26" s="10"/>
      <c r="P26" s="18"/>
      <c r="Q26" s="10"/>
      <c r="R26" s="18"/>
      <c r="S26" s="10"/>
      <c r="T26" s="18"/>
      <c r="U26" s="10"/>
      <c r="V26" s="18"/>
      <c r="X26" s="10"/>
    </row>
    <row r="27" spans="1:24" x14ac:dyDescent="0.25">
      <c r="A27" s="28">
        <v>3737</v>
      </c>
      <c r="B27" s="31" t="s">
        <v>57</v>
      </c>
      <c r="C27" s="31">
        <v>108</v>
      </c>
      <c r="D27" s="2" t="s">
        <v>61</v>
      </c>
      <c r="E27" s="2" t="s">
        <v>62</v>
      </c>
      <c r="F27" s="31" t="s">
        <v>37</v>
      </c>
      <c r="G27" s="31">
        <v>1</v>
      </c>
      <c r="H27" s="31">
        <v>1</v>
      </c>
      <c r="I27" s="31">
        <v>1</v>
      </c>
      <c r="J27" s="30">
        <f>SUM(M27,O27,Q27,S27,U27)</f>
        <v>1</v>
      </c>
      <c r="K27" s="19">
        <f>VendorInventory[[#This Row],[Total Qty Received              Do Not Modify]]/VendorInventory[[#This Row],[Total Qty]]</f>
        <v>1</v>
      </c>
      <c r="L27"/>
      <c r="M27" s="29">
        <v>1</v>
      </c>
      <c r="N27" s="18"/>
      <c r="O27" s="10"/>
      <c r="P27" s="18"/>
      <c r="Q27" s="10"/>
      <c r="R27" s="18"/>
      <c r="S27" s="10"/>
      <c r="T27" s="18"/>
      <c r="U27" s="10"/>
      <c r="V27" s="18"/>
      <c r="X27" s="10"/>
    </row>
    <row r="28" spans="1:24" x14ac:dyDescent="0.25">
      <c r="A28" s="28">
        <v>3737</v>
      </c>
      <c r="B28" s="31" t="s">
        <v>63</v>
      </c>
      <c r="C28" s="31">
        <v>108</v>
      </c>
      <c r="D28" s="2" t="s">
        <v>61</v>
      </c>
      <c r="E28" s="2" t="s">
        <v>62</v>
      </c>
      <c r="F28" s="31" t="s">
        <v>37</v>
      </c>
      <c r="G28" s="31">
        <v>1</v>
      </c>
      <c r="H28" s="31">
        <v>1</v>
      </c>
      <c r="I28" s="31">
        <v>1</v>
      </c>
      <c r="J28" s="30">
        <f>SUM(M28,O28,Q28,S28,U28)</f>
        <v>0</v>
      </c>
      <c r="K28" s="19">
        <f>VendorInventory[[#This Row],[Total Qty Received              Do Not Modify]]/VendorInventory[[#This Row],[Total Qty]]</f>
        <v>0</v>
      </c>
      <c r="L28"/>
      <c r="M28" s="42"/>
      <c r="N28" s="18"/>
      <c r="O28" s="42"/>
      <c r="P28" s="18"/>
      <c r="Q28" s="42"/>
      <c r="R28" s="18"/>
      <c r="S28" s="42"/>
      <c r="T28" s="18"/>
      <c r="U28" s="42"/>
      <c r="V28" s="18"/>
      <c r="X28" s="10"/>
    </row>
    <row r="29" spans="1:24" x14ac:dyDescent="0.25">
      <c r="A29" s="28">
        <v>3737</v>
      </c>
      <c r="B29" s="31" t="s">
        <v>35</v>
      </c>
      <c r="C29" s="31">
        <v>110</v>
      </c>
      <c r="D29" s="2" t="s">
        <v>55</v>
      </c>
      <c r="E29" s="2" t="s">
        <v>56</v>
      </c>
      <c r="F29" s="31" t="s">
        <v>37</v>
      </c>
      <c r="G29" s="31">
        <v>1</v>
      </c>
      <c r="H29" s="31">
        <v>1</v>
      </c>
      <c r="I29" s="31">
        <v>1</v>
      </c>
      <c r="J29" s="30">
        <f>SUM(M29,O29,Q29,S29,U29)</f>
        <v>1</v>
      </c>
      <c r="K29" s="19">
        <f>VendorInventory[[#This Row],[Total Qty Received              Do Not Modify]]/VendorInventory[[#This Row],[Total Qty]]</f>
        <v>1</v>
      </c>
      <c r="L29"/>
      <c r="M29" s="29">
        <v>1</v>
      </c>
      <c r="N29" s="18"/>
      <c r="O29" s="10"/>
      <c r="P29" s="18"/>
      <c r="Q29" s="10"/>
      <c r="R29" s="18"/>
      <c r="S29" s="10"/>
      <c r="T29" s="18"/>
      <c r="U29" s="10"/>
      <c r="V29" s="18"/>
      <c r="X29" s="10"/>
    </row>
    <row r="30" spans="1:24" x14ac:dyDescent="0.25">
      <c r="A30" s="28">
        <v>3738</v>
      </c>
      <c r="B30" s="31" t="s">
        <v>63</v>
      </c>
      <c r="C30" s="31">
        <v>105</v>
      </c>
      <c r="D30" s="2" t="s">
        <v>47</v>
      </c>
      <c r="E30" s="2" t="s">
        <v>48</v>
      </c>
      <c r="F30" s="31" t="s">
        <v>37</v>
      </c>
      <c r="G30" s="31">
        <v>2</v>
      </c>
      <c r="H30" s="31">
        <v>1</v>
      </c>
      <c r="I30" s="31">
        <v>2</v>
      </c>
      <c r="J30" s="30">
        <f>SUM(M30,O30,Q30,S30,U30)</f>
        <v>0</v>
      </c>
      <c r="K30" s="19">
        <f>VendorInventory[[#This Row],[Total Qty Received              Do Not Modify]]/VendorInventory[[#This Row],[Total Qty]]</f>
        <v>0</v>
      </c>
      <c r="L30"/>
      <c r="M30" s="29"/>
      <c r="N30" s="18"/>
      <c r="O30" s="10"/>
      <c r="P30" s="18"/>
      <c r="Q30" s="10"/>
      <c r="R30" s="18"/>
      <c r="S30" s="10"/>
      <c r="T30" s="18"/>
      <c r="U30" s="10"/>
      <c r="V30" s="18"/>
      <c r="X30" s="10"/>
    </row>
    <row r="31" spans="1:24" x14ac:dyDescent="0.25">
      <c r="A31" s="28">
        <v>3738</v>
      </c>
      <c r="B31" s="31" t="s">
        <v>58</v>
      </c>
      <c r="C31" s="31">
        <v>103</v>
      </c>
      <c r="D31" s="2" t="s">
        <v>45</v>
      </c>
      <c r="E31" s="2" t="s">
        <v>46</v>
      </c>
      <c r="F31" s="31" t="s">
        <v>37</v>
      </c>
      <c r="G31" s="31">
        <v>8</v>
      </c>
      <c r="H31" s="31">
        <v>2</v>
      </c>
      <c r="I31" s="31">
        <v>16</v>
      </c>
      <c r="J31" s="30">
        <f>SUM(M31,O31,Q31,S31,U31)</f>
        <v>1</v>
      </c>
      <c r="K31" s="19">
        <f>VendorInventory[[#This Row],[Total Qty Received              Do Not Modify]]/VendorInventory[[#This Row],[Total Qty]]</f>
        <v>6.25E-2</v>
      </c>
      <c r="L31"/>
      <c r="M31" s="29">
        <v>1</v>
      </c>
      <c r="N31" s="18"/>
      <c r="O31" s="10"/>
      <c r="P31" s="18"/>
      <c r="Q31" s="10"/>
      <c r="R31" s="18"/>
      <c r="S31" s="10"/>
      <c r="T31" s="18"/>
      <c r="U31" s="10"/>
      <c r="V31" s="18"/>
      <c r="X31" s="10"/>
    </row>
    <row r="32" spans="1:24" x14ac:dyDescent="0.25">
      <c r="A32" s="28">
        <v>3738</v>
      </c>
      <c r="B32" s="31" t="s">
        <v>63</v>
      </c>
      <c r="C32" s="31">
        <v>104</v>
      </c>
      <c r="D32" s="2" t="s">
        <v>45</v>
      </c>
      <c r="E32" s="2" t="s">
        <v>46</v>
      </c>
      <c r="F32" s="31" t="s">
        <v>37</v>
      </c>
      <c r="G32" s="31">
        <v>4</v>
      </c>
      <c r="H32" s="31">
        <v>1</v>
      </c>
      <c r="I32" s="31">
        <v>4</v>
      </c>
      <c r="J32" s="30">
        <f>SUM(M32,O32,Q32,S32,U32)</f>
        <v>0</v>
      </c>
      <c r="K32" s="19">
        <f>VendorInventory[[#This Row],[Total Qty Received              Do Not Modify]]/VendorInventory[[#This Row],[Total Qty]]</f>
        <v>0</v>
      </c>
      <c r="L32"/>
      <c r="M32" s="29"/>
      <c r="N32" s="18"/>
      <c r="O32" s="10"/>
      <c r="P32" s="18"/>
      <c r="Q32" s="10"/>
      <c r="R32" s="18"/>
      <c r="S32" s="10"/>
      <c r="T32" s="18"/>
      <c r="U32" s="10"/>
      <c r="V32" s="18"/>
      <c r="X32" s="10"/>
    </row>
    <row r="33" spans="1:24" x14ac:dyDescent="0.25">
      <c r="A33" s="28">
        <v>3738</v>
      </c>
      <c r="B33" s="31" t="s">
        <v>58</v>
      </c>
      <c r="C33" s="31">
        <v>101</v>
      </c>
      <c r="D33" s="2" t="s">
        <v>41</v>
      </c>
      <c r="E33" s="2" t="s">
        <v>42</v>
      </c>
      <c r="F33" s="31" t="s">
        <v>37</v>
      </c>
      <c r="G33" s="31">
        <v>1</v>
      </c>
      <c r="H33" s="31">
        <v>2</v>
      </c>
      <c r="I33" s="31">
        <v>2</v>
      </c>
      <c r="J33" s="30">
        <f>SUM(M33,O33,Q33,S33,U33)</f>
        <v>1</v>
      </c>
      <c r="K33" s="19">
        <f>VendorInventory[[#This Row],[Total Qty Received              Do Not Modify]]/VendorInventory[[#This Row],[Total Qty]]</f>
        <v>0.5</v>
      </c>
      <c r="L33"/>
      <c r="M33" s="29">
        <v>1</v>
      </c>
      <c r="N33" s="18"/>
      <c r="O33" s="10"/>
      <c r="P33" s="18"/>
      <c r="Q33" s="10"/>
      <c r="R33" s="18"/>
      <c r="S33" s="10"/>
      <c r="T33" s="18"/>
      <c r="U33" s="10"/>
      <c r="V33" s="18"/>
      <c r="X33" s="10"/>
    </row>
    <row r="34" spans="1:24" x14ac:dyDescent="0.25">
      <c r="A34" s="28">
        <v>3738</v>
      </c>
      <c r="B34" s="31" t="s">
        <v>63</v>
      </c>
      <c r="C34" s="31">
        <v>102</v>
      </c>
      <c r="D34" s="2" t="s">
        <v>41</v>
      </c>
      <c r="E34" s="2" t="s">
        <v>42</v>
      </c>
      <c r="F34" s="31" t="s">
        <v>37</v>
      </c>
      <c r="G34" s="31">
        <v>2</v>
      </c>
      <c r="H34" s="31">
        <v>1</v>
      </c>
      <c r="I34" s="31">
        <v>2</v>
      </c>
      <c r="J34" s="30">
        <f>SUM(M34,O34,Q34,S34,U34)</f>
        <v>1</v>
      </c>
      <c r="K34" s="19">
        <f>VendorInventory[[#This Row],[Total Qty Received              Do Not Modify]]/VendorInventory[[#This Row],[Total Qty]]</f>
        <v>0.5</v>
      </c>
      <c r="L34"/>
      <c r="M34" s="29">
        <v>1</v>
      </c>
      <c r="N34" s="18"/>
      <c r="O34" s="10"/>
      <c r="P34" s="18"/>
      <c r="Q34" s="10"/>
      <c r="R34" s="18"/>
      <c r="S34" s="10"/>
      <c r="T34" s="18"/>
      <c r="U34" s="10"/>
      <c r="V34" s="18"/>
      <c r="X34" s="10"/>
    </row>
    <row r="35" spans="1:24" x14ac:dyDescent="0.25">
      <c r="A35" s="28">
        <v>3738</v>
      </c>
      <c r="B35" s="31" t="s">
        <v>63</v>
      </c>
      <c r="C35" s="31">
        <v>103</v>
      </c>
      <c r="D35" s="2" t="s">
        <v>43</v>
      </c>
      <c r="E35" s="2" t="s">
        <v>44</v>
      </c>
      <c r="F35" s="31" t="s">
        <v>37</v>
      </c>
      <c r="G35" s="31">
        <v>1</v>
      </c>
      <c r="H35" s="31">
        <v>1</v>
      </c>
      <c r="I35" s="31">
        <v>1</v>
      </c>
      <c r="J35" s="30">
        <f>SUM(M35,O35,Q35,S35,U35)</f>
        <v>1</v>
      </c>
      <c r="K35" s="19">
        <f>VendorInventory[[#This Row],[Total Qty Received              Do Not Modify]]/VendorInventory[[#This Row],[Total Qty]]</f>
        <v>1</v>
      </c>
      <c r="L35"/>
      <c r="M35" s="29">
        <v>1</v>
      </c>
      <c r="N35" s="18"/>
      <c r="O35" s="10"/>
      <c r="P35" s="18"/>
      <c r="Q35" s="10"/>
      <c r="R35" s="18"/>
      <c r="S35" s="10"/>
      <c r="T35" s="18"/>
      <c r="U35" s="10"/>
      <c r="V35" s="18"/>
      <c r="X35" s="10"/>
    </row>
    <row r="36" spans="1:24" x14ac:dyDescent="0.25">
      <c r="A36" s="28">
        <v>3738</v>
      </c>
      <c r="B36" s="31" t="s">
        <v>58</v>
      </c>
      <c r="C36" s="31">
        <v>102</v>
      </c>
      <c r="D36" s="2" t="s">
        <v>43</v>
      </c>
      <c r="E36" s="2" t="s">
        <v>44</v>
      </c>
      <c r="F36" s="31" t="s">
        <v>37</v>
      </c>
      <c r="G36" s="31">
        <v>1</v>
      </c>
      <c r="H36" s="31">
        <v>2</v>
      </c>
      <c r="I36" s="31">
        <v>2</v>
      </c>
      <c r="J36" s="30">
        <f>SUM(M36,O36,Q36,S36,U36)</f>
        <v>1</v>
      </c>
      <c r="K36" s="19">
        <f>VendorInventory[[#This Row],[Total Qty Received              Do Not Modify]]/VendorInventory[[#This Row],[Total Qty]]</f>
        <v>0.5</v>
      </c>
      <c r="L36"/>
      <c r="M36" s="10">
        <v>1</v>
      </c>
      <c r="N36" s="18"/>
      <c r="O36" s="10"/>
      <c r="P36" s="18"/>
      <c r="Q36" s="10"/>
      <c r="R36" s="18"/>
      <c r="S36" s="10"/>
      <c r="T36" s="18"/>
      <c r="U36" s="10"/>
      <c r="V36" s="18"/>
      <c r="X36" s="10"/>
    </row>
    <row r="37" spans="1:24" x14ac:dyDescent="0.25">
      <c r="A37" s="28">
        <v>3738</v>
      </c>
      <c r="B37" s="31" t="s">
        <v>63</v>
      </c>
      <c r="C37" s="31">
        <v>100</v>
      </c>
      <c r="D37" s="2" t="s">
        <v>24</v>
      </c>
      <c r="E37" s="2" t="s">
        <v>36</v>
      </c>
      <c r="F37" s="31" t="s">
        <v>37</v>
      </c>
      <c r="G37" s="31">
        <v>1</v>
      </c>
      <c r="H37" s="31">
        <v>1</v>
      </c>
      <c r="I37" s="31">
        <v>1</v>
      </c>
      <c r="J37" s="30">
        <f>SUM(M37,O37,Q37,S37,U37)</f>
        <v>1</v>
      </c>
      <c r="K37" s="19">
        <f>VendorInventory[[#This Row],[Total Qty Received              Do Not Modify]]/VendorInventory[[#This Row],[Total Qty]]</f>
        <v>1</v>
      </c>
      <c r="L37"/>
      <c r="M37" s="10">
        <v>1</v>
      </c>
      <c r="N37" s="18"/>
      <c r="O37" s="10"/>
      <c r="P37" s="18"/>
      <c r="Q37" s="10"/>
      <c r="R37" s="18"/>
      <c r="S37" s="10"/>
      <c r="T37" s="18"/>
      <c r="U37" s="10"/>
      <c r="V37" s="18"/>
      <c r="X37" s="10"/>
    </row>
    <row r="38" spans="1:24" x14ac:dyDescent="0.25">
      <c r="A38" s="28">
        <v>3738</v>
      </c>
      <c r="B38" s="31" t="s">
        <v>58</v>
      </c>
      <c r="C38" s="31">
        <v>100</v>
      </c>
      <c r="D38" s="2" t="s">
        <v>24</v>
      </c>
      <c r="E38" s="2" t="s">
        <v>36</v>
      </c>
      <c r="F38" s="31" t="s">
        <v>37</v>
      </c>
      <c r="G38" s="31">
        <v>1</v>
      </c>
      <c r="H38" s="31">
        <v>2</v>
      </c>
      <c r="I38" s="31">
        <v>2</v>
      </c>
      <c r="J38" s="30">
        <f>SUM(M38,O38,Q38,S38,U38)</f>
        <v>1</v>
      </c>
      <c r="K38" s="19">
        <f>VendorInventory[[#This Row],[Total Qty Received              Do Not Modify]]/VendorInventory[[#This Row],[Total Qty]]</f>
        <v>0.5</v>
      </c>
      <c r="L38"/>
      <c r="M38" s="10">
        <v>1</v>
      </c>
      <c r="N38" s="18"/>
      <c r="O38" s="10"/>
      <c r="P38" s="18"/>
      <c r="Q38" s="10"/>
      <c r="R38" s="18"/>
      <c r="S38" s="10"/>
      <c r="T38" s="18"/>
      <c r="U38" s="10"/>
      <c r="V38" s="18"/>
      <c r="X38" s="10"/>
    </row>
    <row r="39" spans="1:24" x14ac:dyDescent="0.25">
      <c r="A39" s="28">
        <v>3738</v>
      </c>
      <c r="B39" s="31" t="s">
        <v>63</v>
      </c>
      <c r="C39" s="31">
        <v>101</v>
      </c>
      <c r="D39" s="2" t="s">
        <v>25</v>
      </c>
      <c r="E39" s="2" t="s">
        <v>40</v>
      </c>
      <c r="F39" s="31" t="s">
        <v>37</v>
      </c>
      <c r="G39" s="31">
        <v>2</v>
      </c>
      <c r="H39" s="31">
        <v>1</v>
      </c>
      <c r="I39" s="31">
        <v>2</v>
      </c>
      <c r="J39" s="31">
        <f>SUM(M39,O39,Q39,S39,U39)</f>
        <v>1</v>
      </c>
      <c r="K39" s="19">
        <f>VendorInventory[[#This Row],[Total Qty Received              Do Not Modify]]/VendorInventory[[#This Row],[Total Qty]]</f>
        <v>0.5</v>
      </c>
      <c r="L39"/>
      <c r="M39" s="33">
        <v>1</v>
      </c>
      <c r="N39" s="32"/>
      <c r="O39" s="33"/>
      <c r="P39" s="32"/>
      <c r="Q39" s="33"/>
      <c r="R39" s="32"/>
      <c r="S39" s="33"/>
      <c r="T39" s="32"/>
      <c r="U39" s="33"/>
      <c r="V39" s="32"/>
    </row>
  </sheetData>
  <mergeCells count="1">
    <mergeCell ref="C1:E1"/>
  </mergeCells>
  <phoneticPr fontId="12" type="noConversion"/>
  <conditionalFormatting sqref="J1:J4 J40:J1048576 K5:K39">
    <cfRule type="colorScale" priority="2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EC0CC-CA7C-4E21-B65C-18C31869C6C4}">
  <sheetPr codeName="Sheet4"/>
  <dimension ref="A1:V24"/>
  <sheetViews>
    <sheetView tabSelected="1" zoomScale="70" zoomScaleNormal="70" workbookViewId="0">
      <pane ySplit="4" topLeftCell="A5" activePane="bottomLeft" state="frozen"/>
      <selection pane="bottomLeft" activeCell="K5" sqref="K5"/>
    </sheetView>
  </sheetViews>
  <sheetFormatPr defaultRowHeight="15" x14ac:dyDescent="0.25"/>
  <cols>
    <col min="1" max="1" width="13.5703125" style="23" bestFit="1" customWidth="1"/>
    <col min="2" max="2" width="30.7109375" style="2" bestFit="1" customWidth="1"/>
    <col min="3" max="3" width="60.5703125" style="39" bestFit="1" customWidth="1"/>
    <col min="4" max="4" width="25.42578125" bestFit="1" customWidth="1"/>
    <col min="5" max="5" width="19.28515625" bestFit="1" customWidth="1"/>
    <col min="6" max="6" width="20.28515625" bestFit="1" customWidth="1"/>
    <col min="7" max="7" width="30.28515625" style="41" bestFit="1" customWidth="1"/>
    <col min="8" max="8" width="27.42578125" bestFit="1" customWidth="1"/>
    <col min="9" max="9" width="30.28515625" style="41" bestFit="1" customWidth="1"/>
    <col min="10" max="10" width="28.140625" style="28" bestFit="1" customWidth="1"/>
    <col min="11" max="11" width="61.7109375" style="34" customWidth="1"/>
    <col min="12" max="12" width="22.140625" style="28" bestFit="1" customWidth="1"/>
    <col min="13" max="13" width="23.42578125" style="32" bestFit="1" customWidth="1"/>
    <col min="14" max="14" width="22.140625" style="28" bestFit="1" customWidth="1"/>
    <col min="15" max="15" width="23.42578125" style="32" bestFit="1" customWidth="1"/>
    <col min="16" max="16" width="22.140625" style="28" bestFit="1" customWidth="1"/>
    <col min="17" max="17" width="23.42578125" style="32" bestFit="1" customWidth="1"/>
    <col min="18" max="18" width="22.140625" style="28" bestFit="1" customWidth="1"/>
    <col min="19" max="19" width="23.42578125" style="32" bestFit="1" customWidth="1"/>
    <col min="20" max="20" width="22.140625" style="28" bestFit="1" customWidth="1"/>
    <col min="21" max="21" width="23.42578125" style="32" bestFit="1" customWidth="1"/>
    <col min="22" max="22" width="9.140625" style="34"/>
  </cols>
  <sheetData>
    <row r="1" spans="1:20" ht="31.5" x14ac:dyDescent="0.5">
      <c r="A1" s="26"/>
      <c r="B1" s="40"/>
      <c r="C1" s="56" t="s">
        <v>64</v>
      </c>
      <c r="D1" s="57"/>
      <c r="E1" s="57"/>
      <c r="F1" s="1" t="s">
        <v>1</v>
      </c>
      <c r="G1" s="53" t="s">
        <v>33</v>
      </c>
      <c r="H1" s="3"/>
    </row>
    <row r="2" spans="1:20" ht="21" x14ac:dyDescent="0.35">
      <c r="D2" s="2"/>
      <c r="E2" s="2"/>
      <c r="F2" s="1" t="s">
        <v>0</v>
      </c>
      <c r="G2" s="54"/>
      <c r="H2" s="4"/>
    </row>
    <row r="3" spans="1:20" ht="21" x14ac:dyDescent="0.35">
      <c r="D3" s="2"/>
      <c r="E3" s="2"/>
      <c r="F3" s="1" t="s">
        <v>3</v>
      </c>
      <c r="G3" s="54" t="s">
        <v>34</v>
      </c>
      <c r="H3" s="4"/>
      <c r="J3" s="47" t="s">
        <v>74</v>
      </c>
    </row>
    <row r="4" spans="1:20" ht="21" x14ac:dyDescent="0.35">
      <c r="F4" s="1" t="s">
        <v>4</v>
      </c>
      <c r="G4" s="54" t="s">
        <v>32</v>
      </c>
      <c r="H4" s="5"/>
    </row>
    <row r="5" spans="1:20" s="47" customFormat="1" ht="21" x14ac:dyDescent="0.25">
      <c r="A5" s="47" t="s">
        <v>28</v>
      </c>
      <c r="B5" s="48" t="s">
        <v>7</v>
      </c>
      <c r="C5" s="48" t="s">
        <v>8</v>
      </c>
      <c r="D5" s="47" t="s">
        <v>9</v>
      </c>
      <c r="E5" s="47" t="s">
        <v>12</v>
      </c>
      <c r="F5" t="s">
        <v>65</v>
      </c>
      <c r="G5" s="49" t="s">
        <v>27</v>
      </c>
      <c r="H5" s="47" t="s">
        <v>23</v>
      </c>
      <c r="I5" s="50"/>
      <c r="J5" s="51" t="s">
        <v>73</v>
      </c>
      <c r="K5" s="50" t="s">
        <v>75</v>
      </c>
      <c r="L5" s="52"/>
      <c r="M5" s="50"/>
      <c r="N5" s="52"/>
      <c r="O5" s="50"/>
      <c r="P5" s="52"/>
      <c r="Q5" s="50"/>
      <c r="R5" s="52"/>
      <c r="S5" s="50"/>
      <c r="T5" s="52"/>
    </row>
    <row r="6" spans="1:20" s="37" customFormat="1" ht="18.75" x14ac:dyDescent="0.25">
      <c r="A6" s="45" t="s">
        <v>66</v>
      </c>
      <c r="B6" s="44" t="s">
        <v>51</v>
      </c>
      <c r="C6" s="44" t="s">
        <v>52</v>
      </c>
      <c r="D6" s="45" t="s">
        <v>37</v>
      </c>
      <c r="E6" s="43">
        <v>4</v>
      </c>
      <c r="F6">
        <v>1</v>
      </c>
      <c r="G6" s="46">
        <v>0.25</v>
      </c>
      <c r="H6" s="45" t="s">
        <v>72</v>
      </c>
      <c r="I6" s="35"/>
      <c r="J6" s="36"/>
      <c r="K6" s="35"/>
      <c r="L6" s="38"/>
      <c r="M6" s="35"/>
      <c r="N6" s="38"/>
      <c r="O6" s="35"/>
      <c r="P6" s="38"/>
      <c r="Q6" s="35"/>
      <c r="R6" s="38"/>
      <c r="S6" s="35"/>
      <c r="T6" s="38"/>
    </row>
    <row r="7" spans="1:20" s="37" customFormat="1" ht="18.75" x14ac:dyDescent="0.25">
      <c r="A7" s="45" t="s">
        <v>66</v>
      </c>
      <c r="B7" s="44" t="s">
        <v>49</v>
      </c>
      <c r="C7" s="44" t="s">
        <v>50</v>
      </c>
      <c r="D7" s="45" t="s">
        <v>37</v>
      </c>
      <c r="E7" s="43">
        <v>3</v>
      </c>
      <c r="F7">
        <v>1</v>
      </c>
      <c r="G7" s="46">
        <v>0.33333333333333298</v>
      </c>
      <c r="H7" s="45" t="s">
        <v>67</v>
      </c>
      <c r="I7" s="35"/>
      <c r="J7" s="36"/>
      <c r="K7" s="35"/>
      <c r="L7" s="38"/>
      <c r="M7" s="35"/>
      <c r="N7" s="38"/>
      <c r="O7" s="35"/>
      <c r="P7" s="38"/>
      <c r="Q7" s="35"/>
      <c r="R7" s="38"/>
      <c r="S7" s="35"/>
      <c r="T7" s="38"/>
    </row>
    <row r="8" spans="1:20" s="37" customFormat="1" ht="18.75" x14ac:dyDescent="0.25">
      <c r="A8" s="45" t="s">
        <v>66</v>
      </c>
      <c r="B8" s="44" t="s">
        <v>47</v>
      </c>
      <c r="C8" s="44" t="s">
        <v>48</v>
      </c>
      <c r="D8" s="45" t="s">
        <v>37</v>
      </c>
      <c r="E8" s="43">
        <v>3</v>
      </c>
      <c r="F8">
        <v>1</v>
      </c>
      <c r="G8" s="46">
        <v>0.33333333333333298</v>
      </c>
      <c r="H8" s="45" t="s">
        <v>67</v>
      </c>
      <c r="I8" s="35"/>
      <c r="J8" s="36"/>
      <c r="K8" s="35"/>
      <c r="L8" s="38"/>
      <c r="M8" s="35"/>
      <c r="N8" s="38"/>
      <c r="O8" s="35"/>
      <c r="P8" s="38"/>
      <c r="Q8" s="35"/>
      <c r="R8" s="38"/>
      <c r="S8" s="35"/>
      <c r="T8" s="38"/>
    </row>
    <row r="9" spans="1:20" s="37" customFormat="1" ht="18.75" x14ac:dyDescent="0.25">
      <c r="A9" s="45" t="s">
        <v>66</v>
      </c>
      <c r="B9" s="44" t="s">
        <v>45</v>
      </c>
      <c r="C9" s="44" t="s">
        <v>46</v>
      </c>
      <c r="D9" s="45" t="s">
        <v>37</v>
      </c>
      <c r="E9" s="43">
        <v>21</v>
      </c>
      <c r="F9">
        <v>1</v>
      </c>
      <c r="G9" s="46">
        <v>4.7619047619047603E-2</v>
      </c>
      <c r="H9" s="45" t="s">
        <v>67</v>
      </c>
      <c r="I9" s="35"/>
      <c r="J9" s="36"/>
      <c r="K9" s="35"/>
      <c r="L9" s="38"/>
      <c r="M9" s="35"/>
      <c r="N9" s="38"/>
      <c r="O9" s="35"/>
      <c r="P9" s="38"/>
      <c r="Q9" s="35"/>
      <c r="R9" s="38"/>
      <c r="S9" s="35"/>
      <c r="T9" s="38"/>
    </row>
    <row r="10" spans="1:20" s="37" customFormat="1" ht="18.75" x14ac:dyDescent="0.25">
      <c r="A10" s="45" t="s">
        <v>66</v>
      </c>
      <c r="B10" s="44" t="s">
        <v>41</v>
      </c>
      <c r="C10" s="44" t="s">
        <v>42</v>
      </c>
      <c r="D10" s="45" t="s">
        <v>37</v>
      </c>
      <c r="E10" s="43">
        <v>7</v>
      </c>
      <c r="F10">
        <v>1</v>
      </c>
      <c r="G10" s="46">
        <v>0.14285714285714299</v>
      </c>
      <c r="H10" s="45" t="s">
        <v>67</v>
      </c>
      <c r="I10" s="35"/>
      <c r="J10" s="36"/>
      <c r="K10" s="35"/>
      <c r="L10" s="38"/>
      <c r="M10" s="35"/>
      <c r="N10" s="38"/>
      <c r="O10" s="35"/>
      <c r="P10" s="38"/>
      <c r="Q10" s="35"/>
      <c r="R10" s="38"/>
      <c r="S10" s="35"/>
      <c r="T10" s="38"/>
    </row>
    <row r="11" spans="1:20" s="37" customFormat="1" ht="18.75" x14ac:dyDescent="0.25">
      <c r="A11" s="45" t="s">
        <v>66</v>
      </c>
      <c r="B11" s="44" t="s">
        <v>43</v>
      </c>
      <c r="C11" s="44" t="s">
        <v>44</v>
      </c>
      <c r="D11" s="45" t="s">
        <v>37</v>
      </c>
      <c r="E11" s="43">
        <v>2</v>
      </c>
      <c r="F11">
        <v>1</v>
      </c>
      <c r="G11" s="46">
        <v>0.5</v>
      </c>
      <c r="H11" s="45" t="s">
        <v>67</v>
      </c>
      <c r="I11" s="35"/>
      <c r="J11" s="36"/>
      <c r="K11" s="35"/>
      <c r="L11" s="38"/>
      <c r="M11" s="35"/>
      <c r="N11" s="38"/>
      <c r="O11" s="35"/>
      <c r="P11" s="38"/>
      <c r="Q11" s="35"/>
      <c r="R11" s="38"/>
      <c r="S11" s="35"/>
      <c r="T11" s="38"/>
    </row>
    <row r="12" spans="1:20" s="37" customFormat="1" ht="18.75" x14ac:dyDescent="0.25">
      <c r="A12" s="45" t="s">
        <v>66</v>
      </c>
      <c r="B12" s="44" t="s">
        <v>24</v>
      </c>
      <c r="C12" s="44" t="s">
        <v>36</v>
      </c>
      <c r="D12" s="45" t="s">
        <v>37</v>
      </c>
      <c r="E12" s="43">
        <v>2</v>
      </c>
      <c r="F12">
        <v>2</v>
      </c>
      <c r="G12" s="46">
        <v>1</v>
      </c>
      <c r="H12" s="45" t="s">
        <v>67</v>
      </c>
      <c r="I12" s="35"/>
      <c r="J12" s="36"/>
      <c r="K12" s="35"/>
      <c r="L12" s="38"/>
      <c r="M12" s="35"/>
      <c r="N12" s="38"/>
      <c r="O12" s="35"/>
      <c r="P12" s="38"/>
      <c r="Q12" s="35"/>
      <c r="R12" s="38"/>
      <c r="S12" s="35"/>
      <c r="T12" s="38"/>
    </row>
    <row r="13" spans="1:20" s="37" customFormat="1" ht="18.75" x14ac:dyDescent="0.25">
      <c r="A13" s="45" t="s">
        <v>66</v>
      </c>
      <c r="B13" s="44" t="s">
        <v>25</v>
      </c>
      <c r="C13" s="44" t="s">
        <v>40</v>
      </c>
      <c r="D13" s="45" t="s">
        <v>37</v>
      </c>
      <c r="E13" s="43">
        <v>4</v>
      </c>
      <c r="F13">
        <v>3</v>
      </c>
      <c r="G13" s="46">
        <v>0.75</v>
      </c>
      <c r="H13" s="45" t="s">
        <v>67</v>
      </c>
      <c r="I13" s="35"/>
      <c r="J13" s="36"/>
      <c r="K13" s="35"/>
      <c r="L13" s="38"/>
      <c r="M13" s="35"/>
      <c r="N13" s="38"/>
      <c r="O13" s="35"/>
      <c r="P13" s="38"/>
      <c r="Q13" s="35"/>
      <c r="R13" s="38"/>
      <c r="S13" s="35"/>
      <c r="T13" s="38"/>
    </row>
    <row r="14" spans="1:20" s="37" customFormat="1" ht="18.75" x14ac:dyDescent="0.25">
      <c r="A14" s="45" t="s">
        <v>66</v>
      </c>
      <c r="B14" s="44" t="s">
        <v>38</v>
      </c>
      <c r="C14" s="44" t="s">
        <v>39</v>
      </c>
      <c r="D14" s="45" t="s">
        <v>37</v>
      </c>
      <c r="E14" s="43">
        <v>3</v>
      </c>
      <c r="F14">
        <v>2</v>
      </c>
      <c r="G14" s="46">
        <v>0.66666666666666696</v>
      </c>
      <c r="H14" s="45" t="s">
        <v>67</v>
      </c>
      <c r="I14" s="35"/>
      <c r="J14" s="36"/>
      <c r="K14" s="35"/>
      <c r="L14" s="38"/>
      <c r="M14" s="35"/>
      <c r="N14" s="38"/>
      <c r="O14" s="35"/>
      <c r="P14" s="38"/>
      <c r="Q14" s="35"/>
      <c r="R14" s="38"/>
      <c r="S14" s="35"/>
      <c r="T14" s="38"/>
    </row>
    <row r="15" spans="1:20" s="37" customFormat="1" ht="18.75" x14ac:dyDescent="0.25">
      <c r="A15" s="45" t="s">
        <v>66</v>
      </c>
      <c r="B15" s="44" t="s">
        <v>59</v>
      </c>
      <c r="C15" s="44" t="s">
        <v>60</v>
      </c>
      <c r="D15" s="45" t="s">
        <v>37</v>
      </c>
      <c r="E15" s="43">
        <v>2</v>
      </c>
      <c r="F15">
        <v>1</v>
      </c>
      <c r="G15" s="46">
        <v>0.5</v>
      </c>
      <c r="H15" s="45" t="s">
        <v>67</v>
      </c>
      <c r="I15" s="35"/>
      <c r="J15" s="36"/>
      <c r="K15" s="35"/>
      <c r="L15" s="38"/>
      <c r="M15" s="35"/>
      <c r="N15" s="38"/>
      <c r="O15" s="35"/>
      <c r="P15" s="38"/>
      <c r="Q15" s="35"/>
      <c r="R15" s="38"/>
      <c r="S15" s="35"/>
      <c r="T15" s="38"/>
    </row>
    <row r="16" spans="1:20" s="37" customFormat="1" ht="18.75" x14ac:dyDescent="0.25">
      <c r="A16" s="45" t="s">
        <v>66</v>
      </c>
      <c r="B16" s="44" t="s">
        <v>53</v>
      </c>
      <c r="C16" s="44" t="s">
        <v>54</v>
      </c>
      <c r="D16" s="45" t="s">
        <v>37</v>
      </c>
      <c r="E16" s="43">
        <v>1</v>
      </c>
      <c r="F16">
        <v>0</v>
      </c>
      <c r="G16" s="46">
        <v>0</v>
      </c>
      <c r="H16" s="45" t="s">
        <v>67</v>
      </c>
      <c r="I16" s="35"/>
      <c r="J16" s="36"/>
      <c r="K16" s="35"/>
      <c r="L16" s="38"/>
      <c r="M16" s="35"/>
      <c r="N16" s="38"/>
      <c r="O16" s="35"/>
      <c r="P16" s="38"/>
      <c r="Q16" s="35"/>
      <c r="R16" s="38"/>
      <c r="S16" s="35"/>
      <c r="T16" s="38"/>
    </row>
    <row r="17" spans="1:20" s="37" customFormat="1" ht="18.75" x14ac:dyDescent="0.25">
      <c r="A17" s="45" t="s">
        <v>66</v>
      </c>
      <c r="B17" s="44" t="s">
        <v>61</v>
      </c>
      <c r="C17" s="44" t="s">
        <v>62</v>
      </c>
      <c r="D17" s="45" t="s">
        <v>37</v>
      </c>
      <c r="E17" s="43">
        <v>2</v>
      </c>
      <c r="F17">
        <v>1</v>
      </c>
      <c r="G17" s="46">
        <v>0.5</v>
      </c>
      <c r="H17" s="45" t="s">
        <v>67</v>
      </c>
      <c r="I17" s="35"/>
      <c r="J17" s="36"/>
      <c r="K17" s="35"/>
      <c r="L17" s="38"/>
      <c r="M17" s="35"/>
      <c r="N17" s="38"/>
      <c r="O17" s="35"/>
      <c r="P17" s="38"/>
      <c r="Q17" s="35"/>
      <c r="R17" s="38"/>
      <c r="S17" s="35"/>
      <c r="T17" s="38"/>
    </row>
    <row r="18" spans="1:20" s="37" customFormat="1" ht="18.75" x14ac:dyDescent="0.25">
      <c r="A18" s="45" t="s">
        <v>66</v>
      </c>
      <c r="B18" s="44" t="s">
        <v>55</v>
      </c>
      <c r="C18" s="44" t="s">
        <v>56</v>
      </c>
      <c r="D18" s="45" t="s">
        <v>37</v>
      </c>
      <c r="E18" s="43">
        <v>1</v>
      </c>
      <c r="F18">
        <v>1</v>
      </c>
      <c r="G18" s="46">
        <v>1</v>
      </c>
      <c r="H18" s="45" t="s">
        <v>67</v>
      </c>
      <c r="I18" s="35"/>
      <c r="J18" s="36"/>
      <c r="K18" s="35"/>
      <c r="L18" s="38"/>
      <c r="M18" s="35"/>
      <c r="N18" s="38"/>
      <c r="O18" s="35"/>
      <c r="P18" s="38"/>
      <c r="Q18" s="35"/>
      <c r="R18" s="38"/>
      <c r="S18" s="35"/>
      <c r="T18" s="38"/>
    </row>
    <row r="19" spans="1:20" s="37" customFormat="1" ht="18.75" x14ac:dyDescent="0.25">
      <c r="A19" s="45" t="s">
        <v>68</v>
      </c>
      <c r="B19" s="44" t="s">
        <v>47</v>
      </c>
      <c r="C19" s="44" t="s">
        <v>48</v>
      </c>
      <c r="D19" s="45" t="s">
        <v>37</v>
      </c>
      <c r="E19" s="43">
        <v>2</v>
      </c>
      <c r="F19">
        <v>0</v>
      </c>
      <c r="G19" s="46">
        <v>0</v>
      </c>
      <c r="H19" s="45" t="s">
        <v>67</v>
      </c>
      <c r="I19" s="35"/>
      <c r="J19" s="36"/>
      <c r="K19" s="35"/>
      <c r="L19" s="38"/>
      <c r="M19" s="35"/>
      <c r="N19" s="38"/>
      <c r="O19" s="35"/>
      <c r="P19" s="38"/>
      <c r="Q19" s="35"/>
      <c r="R19" s="38"/>
      <c r="S19" s="35"/>
      <c r="T19" s="38"/>
    </row>
    <row r="20" spans="1:20" s="37" customFormat="1" ht="18.75" x14ac:dyDescent="0.25">
      <c r="A20" s="45" t="s">
        <v>68</v>
      </c>
      <c r="B20" s="44" t="s">
        <v>45</v>
      </c>
      <c r="C20" s="44" t="s">
        <v>46</v>
      </c>
      <c r="D20" s="45" t="s">
        <v>37</v>
      </c>
      <c r="E20" s="43">
        <v>20</v>
      </c>
      <c r="F20">
        <v>1</v>
      </c>
      <c r="G20" s="46">
        <v>0.05</v>
      </c>
      <c r="H20" s="45" t="s">
        <v>67</v>
      </c>
      <c r="I20" s="35"/>
      <c r="J20" s="36"/>
      <c r="K20" s="35"/>
      <c r="L20" s="38"/>
      <c r="M20" s="35"/>
      <c r="N20" s="38"/>
      <c r="O20" s="35"/>
      <c r="P20" s="38"/>
      <c r="Q20" s="35"/>
      <c r="R20" s="38"/>
      <c r="S20" s="35"/>
      <c r="T20" s="38"/>
    </row>
    <row r="21" spans="1:20" s="37" customFormat="1" ht="18.75" x14ac:dyDescent="0.25">
      <c r="A21" s="45" t="s">
        <v>68</v>
      </c>
      <c r="B21" s="44" t="s">
        <v>41</v>
      </c>
      <c r="C21" s="44" t="s">
        <v>42</v>
      </c>
      <c r="D21" s="45" t="s">
        <v>37</v>
      </c>
      <c r="E21" s="43">
        <v>4</v>
      </c>
      <c r="F21">
        <v>2</v>
      </c>
      <c r="G21" s="46">
        <v>0.5</v>
      </c>
      <c r="H21" s="45" t="s">
        <v>67</v>
      </c>
      <c r="I21" s="35"/>
      <c r="J21" s="36"/>
      <c r="K21" s="35"/>
      <c r="L21" s="38"/>
      <c r="M21" s="35"/>
      <c r="N21" s="38"/>
      <c r="O21" s="35"/>
      <c r="P21" s="38"/>
      <c r="Q21" s="35"/>
      <c r="R21" s="38"/>
      <c r="S21" s="35"/>
      <c r="T21" s="38"/>
    </row>
    <row r="22" spans="1:20" s="37" customFormat="1" ht="18.75" x14ac:dyDescent="0.25">
      <c r="A22" s="45" t="s">
        <v>68</v>
      </c>
      <c r="B22" s="44" t="s">
        <v>43</v>
      </c>
      <c r="C22" s="44" t="s">
        <v>44</v>
      </c>
      <c r="D22" s="45" t="s">
        <v>37</v>
      </c>
      <c r="E22" s="43">
        <v>3</v>
      </c>
      <c r="F22">
        <v>2</v>
      </c>
      <c r="G22" s="46">
        <v>0.66666666666666696</v>
      </c>
      <c r="H22" s="45" t="s">
        <v>67</v>
      </c>
      <c r="I22" s="35"/>
      <c r="J22" s="36"/>
      <c r="K22" s="35"/>
      <c r="L22" s="38"/>
      <c r="M22" s="35"/>
      <c r="N22" s="38"/>
      <c r="O22" s="35"/>
      <c r="P22" s="38"/>
      <c r="Q22" s="35"/>
      <c r="R22" s="38"/>
      <c r="S22" s="35"/>
      <c r="T22" s="38"/>
    </row>
    <row r="23" spans="1:20" s="37" customFormat="1" ht="18.75" x14ac:dyDescent="0.25">
      <c r="A23" s="45" t="s">
        <v>68</v>
      </c>
      <c r="B23" s="44" t="s">
        <v>24</v>
      </c>
      <c r="C23" s="44" t="s">
        <v>36</v>
      </c>
      <c r="D23" s="45" t="s">
        <v>37</v>
      </c>
      <c r="E23" s="43">
        <v>3</v>
      </c>
      <c r="F23">
        <v>2</v>
      </c>
      <c r="G23" s="46">
        <v>0.66666666666666696</v>
      </c>
      <c r="H23" s="45" t="s">
        <v>67</v>
      </c>
      <c r="I23" s="35"/>
      <c r="J23" s="36"/>
      <c r="K23" s="35"/>
      <c r="L23" s="38"/>
      <c r="M23" s="35"/>
      <c r="N23" s="38"/>
      <c r="O23" s="35"/>
      <c r="P23" s="38"/>
      <c r="Q23" s="35"/>
      <c r="R23" s="38"/>
      <c r="S23" s="35"/>
      <c r="T23" s="38"/>
    </row>
    <row r="24" spans="1:20" s="37" customFormat="1" ht="18.75" x14ac:dyDescent="0.25">
      <c r="A24" s="45" t="s">
        <v>68</v>
      </c>
      <c r="B24" s="44" t="s">
        <v>25</v>
      </c>
      <c r="C24" s="44" t="s">
        <v>40</v>
      </c>
      <c r="D24" s="45" t="s">
        <v>37</v>
      </c>
      <c r="E24" s="43">
        <v>2</v>
      </c>
      <c r="F24">
        <v>1</v>
      </c>
      <c r="G24" s="46">
        <v>0.5</v>
      </c>
      <c r="H24" s="45" t="s">
        <v>67</v>
      </c>
      <c r="I24" s="35"/>
      <c r="J24" s="36"/>
      <c r="K24" s="35"/>
      <c r="L24" s="38"/>
      <c r="M24" s="35"/>
      <c r="N24" s="38"/>
      <c r="O24" s="35"/>
      <c r="P24" s="38"/>
      <c r="Q24" s="35"/>
      <c r="R24" s="38"/>
      <c r="S24" s="35"/>
      <c r="T24" s="38"/>
    </row>
  </sheetData>
  <mergeCells count="1">
    <mergeCell ref="C1:E1"/>
  </mergeCells>
  <conditionalFormatting sqref="J5:J24 J3">
    <cfRule type="colorScale" priority="2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conditionalFormatting sqref="C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freshButton">
                <anchor mov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1</xdr:col>
                    <xdr:colOff>1933575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D2C43-E679-4074-AEDC-BC46EB99531B}">
  <sheetPr codeName="Sheet2"/>
  <dimension ref="A1:H18"/>
  <sheetViews>
    <sheetView workbookViewId="0">
      <selection activeCell="H27" sqref="H27"/>
    </sheetView>
  </sheetViews>
  <sheetFormatPr defaultRowHeight="15" x14ac:dyDescent="0.25"/>
  <cols>
    <col min="1" max="1" width="23.28515625" bestFit="1" customWidth="1"/>
    <col min="2" max="2" width="9.5703125" style="10" bestFit="1" customWidth="1"/>
    <col min="3" max="3" width="8" style="10" bestFit="1" customWidth="1"/>
    <col min="4" max="4" width="23.42578125" bestFit="1" customWidth="1"/>
  </cols>
  <sheetData>
    <row r="1" spans="1:8" x14ac:dyDescent="0.25">
      <c r="A1" s="22" t="s">
        <v>28</v>
      </c>
      <c r="B1" s="55">
        <v>3737</v>
      </c>
      <c r="E1" s="58"/>
      <c r="F1" s="58"/>
      <c r="G1" s="58"/>
      <c r="H1" s="58"/>
    </row>
    <row r="3" spans="1:8" ht="60" x14ac:dyDescent="0.25">
      <c r="A3" s="24" t="s">
        <v>29</v>
      </c>
      <c r="B3" s="25" t="s">
        <v>31</v>
      </c>
      <c r="C3" s="25" t="s">
        <v>30</v>
      </c>
    </row>
    <row r="4" spans="1:8" x14ac:dyDescent="0.25">
      <c r="A4" s="2" t="s">
        <v>51</v>
      </c>
      <c r="B4" s="28">
        <v>4</v>
      </c>
      <c r="C4" s="28">
        <v>1</v>
      </c>
    </row>
    <row r="5" spans="1:8" x14ac:dyDescent="0.25">
      <c r="A5" s="2" t="s">
        <v>49</v>
      </c>
      <c r="B5" s="28">
        <v>3</v>
      </c>
      <c r="C5" s="28">
        <v>1</v>
      </c>
    </row>
    <row r="6" spans="1:8" x14ac:dyDescent="0.25">
      <c r="A6" s="2" t="s">
        <v>47</v>
      </c>
      <c r="B6" s="28">
        <v>3</v>
      </c>
      <c r="C6" s="28">
        <v>1</v>
      </c>
    </row>
    <row r="7" spans="1:8" x14ac:dyDescent="0.25">
      <c r="A7" s="2" t="s">
        <v>45</v>
      </c>
      <c r="B7" s="28">
        <v>21</v>
      </c>
      <c r="C7" s="28">
        <v>1</v>
      </c>
    </row>
    <row r="8" spans="1:8" x14ac:dyDescent="0.25">
      <c r="A8" s="2" t="s">
        <v>41</v>
      </c>
      <c r="B8" s="28">
        <v>7</v>
      </c>
      <c r="C8" s="28">
        <v>1</v>
      </c>
    </row>
    <row r="9" spans="1:8" x14ac:dyDescent="0.25">
      <c r="A9" s="2" t="s">
        <v>43</v>
      </c>
      <c r="B9" s="28">
        <v>2</v>
      </c>
      <c r="C9" s="28">
        <v>1</v>
      </c>
    </row>
    <row r="10" spans="1:8" x14ac:dyDescent="0.25">
      <c r="A10" s="2" t="s">
        <v>24</v>
      </c>
      <c r="B10" s="28">
        <v>2</v>
      </c>
      <c r="C10" s="28">
        <v>2</v>
      </c>
    </row>
    <row r="11" spans="1:8" x14ac:dyDescent="0.25">
      <c r="A11" s="2" t="s">
        <v>25</v>
      </c>
      <c r="B11" s="28">
        <v>4</v>
      </c>
      <c r="C11" s="28">
        <v>3</v>
      </c>
    </row>
    <row r="12" spans="1:8" x14ac:dyDescent="0.25">
      <c r="A12" s="2" t="s">
        <v>38</v>
      </c>
      <c r="B12" s="28">
        <v>3</v>
      </c>
      <c r="C12" s="28">
        <v>2</v>
      </c>
    </row>
    <row r="13" spans="1:8" x14ac:dyDescent="0.25">
      <c r="A13" s="2" t="s">
        <v>59</v>
      </c>
      <c r="B13" s="28">
        <v>2</v>
      </c>
      <c r="C13" s="28">
        <v>1</v>
      </c>
    </row>
    <row r="14" spans="1:8" x14ac:dyDescent="0.25">
      <c r="A14" s="2" t="s">
        <v>53</v>
      </c>
      <c r="B14" s="28">
        <v>1</v>
      </c>
      <c r="C14" s="28">
        <v>0</v>
      </c>
    </row>
    <row r="15" spans="1:8" x14ac:dyDescent="0.25">
      <c r="A15" s="2" t="s">
        <v>61</v>
      </c>
      <c r="B15" s="28">
        <v>2</v>
      </c>
      <c r="C15" s="28">
        <v>1</v>
      </c>
    </row>
    <row r="16" spans="1:8" x14ac:dyDescent="0.25">
      <c r="A16" s="2" t="s">
        <v>55</v>
      </c>
      <c r="B16" s="28">
        <v>1</v>
      </c>
      <c r="C16" s="28">
        <v>1</v>
      </c>
    </row>
    <row r="17" spans="2:3" x14ac:dyDescent="0.25">
      <c r="B17"/>
      <c r="C17"/>
    </row>
    <row r="18" spans="2:3" x14ac:dyDescent="0.25">
      <c r="B18"/>
      <c r="C18"/>
    </row>
  </sheetData>
  <mergeCells count="1">
    <mergeCell ref="E1:H1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freshButton">
                <anchor moveWithCells="1" sizeWithCells="1">
                  <from>
                    <xdr:col>3</xdr:col>
                    <xdr:colOff>38100</xdr:colOff>
                    <xdr:row>0</xdr:row>
                    <xdr:rowOff>38100</xdr:rowOff>
                  </from>
                  <to>
                    <xdr:col>3</xdr:col>
                    <xdr:colOff>1533525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48C3A3CE17646AB2F00B7DC1B25D7" ma:contentTypeVersion="12" ma:contentTypeDescription="Create a new document." ma:contentTypeScope="" ma:versionID="a0c041eeb12e3ab214c735b587e9da70">
  <xsd:schema xmlns:xsd="http://www.w3.org/2001/XMLSchema" xmlns:xs="http://www.w3.org/2001/XMLSchema" xmlns:p="http://schemas.microsoft.com/office/2006/metadata/properties" xmlns:ns2="bc44d22b-a5eb-444a-9949-f291459b383e" xmlns:ns3="9e6433d9-abed-44b4-b4a4-2f76def36a23" targetNamespace="http://schemas.microsoft.com/office/2006/metadata/properties" ma:root="true" ma:fieldsID="2fa6c4d84202362b20cbe3b6a9f5d61e" ns2:_="" ns3:_="">
    <xsd:import namespace="bc44d22b-a5eb-444a-9949-f291459b383e"/>
    <xsd:import namespace="9e6433d9-abed-44b4-b4a4-2f76def36a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44d22b-a5eb-444a-9949-f291459b38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433d9-abed-44b4-b4a4-2f76def36a2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56600B3F-D2B1-48CD-881C-1EF91527D04D}">
  <ds:schemaRefs>
    <ds:schemaRef ds:uri="http://schemas.microsoft.com/office/2006/metadata/properties"/>
    <ds:schemaRef ds:uri="bc44d22b-a5eb-444a-9949-f291459b383e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9e6433d9-abed-44b4-b4a4-2f76def36a2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14F737E-975A-4D17-AC74-5D24A6FEF0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44d22b-a5eb-444a-9949-f291459b383e"/>
    <ds:schemaRef ds:uri="9e6433d9-abed-44b4-b4a4-2f76def36a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855618B-E61A-4A4D-A721-72A2BD250D0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1F81CFC-7B54-42A8-B2FC-BAB2498A1A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Inventory</vt:lpstr>
      <vt:lpstr>Summary</vt:lpstr>
      <vt:lpstr>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Barry</dc:creator>
  <cp:lastModifiedBy>Smolinski, Victor</cp:lastModifiedBy>
  <dcterms:created xsi:type="dcterms:W3CDTF">2020-06-10T16:12:51Z</dcterms:created>
  <dcterms:modified xsi:type="dcterms:W3CDTF">2020-08-04T19:10:16Z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0x010100DE648C3A3CE17646AB2F00B7DC1B25D7</vt:lpwstr>
  </property>
</Properties>
</file>